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Test\"/>
    </mc:Choice>
  </mc:AlternateContent>
  <xr:revisionPtr revIDLastSave="0" documentId="13_ncr:1_{F9E12FA1-001B-4F89-85F3-3B13C846F782}" xr6:coauthVersionLast="47" xr6:coauthVersionMax="47" xr10:uidLastSave="{00000000-0000-0000-0000-000000000000}"/>
  <bookViews>
    <workbookView xWindow="-23148" yWindow="3636" windowWidth="23256" windowHeight="13896" xr2:uid="{479C864B-AE26-47F0-AFFE-7BF700634394}"/>
  </bookViews>
  <sheets>
    <sheet name="Database" sheetId="2" r:id="rId1"/>
    <sheet name="Research lines" sheetId="3" r:id="rId2"/>
    <sheet name="Outcome categories" sheetId="5" r:id="rId3"/>
    <sheet name="Impact categori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 l="1"/>
  <c r="E5" i="5"/>
  <c r="E6" i="5"/>
  <c r="E7" i="5"/>
  <c r="E8" i="5"/>
  <c r="E9" i="5"/>
  <c r="E10" i="5"/>
  <c r="E11" i="5"/>
  <c r="E12" i="5"/>
  <c r="E13" i="5"/>
  <c r="E14" i="5"/>
  <c r="E15" i="5"/>
  <c r="E16" i="5"/>
  <c r="E17" i="5"/>
  <c r="E18" i="5"/>
  <c r="E3" i="5"/>
  <c r="Q60" i="2"/>
  <c r="Q59" i="2"/>
  <c r="Q36" i="2"/>
  <c r="Q21" i="2"/>
  <c r="Q19" i="2"/>
  <c r="Q18" i="2"/>
  <c r="Q17" i="2"/>
  <c r="Q16" i="2"/>
  <c r="Q15" i="2"/>
  <c r="Q14" i="2"/>
  <c r="Q13" i="2"/>
  <c r="Q12" i="2"/>
  <c r="Q11" i="2"/>
  <c r="Q10" i="2"/>
  <c r="Q9" i="2"/>
  <c r="Q8" i="2"/>
  <c r="Q4" i="2"/>
  <c r="Q64" i="2"/>
  <c r="Q63" i="2"/>
  <c r="Q62" i="2"/>
  <c r="Q61" i="2"/>
  <c r="Q58" i="2"/>
  <c r="Q57" i="2"/>
  <c r="Q56" i="2"/>
  <c r="Q34" i="2"/>
  <c r="Q33" i="2"/>
  <c r="Q32" i="2"/>
  <c r="Q28" i="2"/>
  <c r="Q24" i="2"/>
  <c r="Q23" i="2"/>
  <c r="Q55" i="2"/>
  <c r="Q54" i="2"/>
  <c r="Q30" i="2"/>
  <c r="Q29" i="2"/>
  <c r="Q27" i="2"/>
  <c r="Q26" i="2"/>
  <c r="Q25" i="2"/>
  <c r="Q22" i="2"/>
  <c r="Q7" i="2"/>
  <c r="Q6" i="2"/>
  <c r="Q5" i="2"/>
  <c r="Q3" i="2"/>
  <c r="Q3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tc={0B00617B-8A8C-4509-AB43-BFE4E26D7DA3}</author>
    <author>tc={A152B6BD-D89B-4301-B26E-CBE86ECA7F12}</author>
    <author>tc={9DC46815-39E5-4A68-8329-5E96C11443E2}</author>
    <author>tc={6E1BDD64-D3C4-4808-B389-0559E930CB2E}</author>
    <author>tc={1DAE2514-F84B-4FD9-97F4-DE16AA6626BA}</author>
    <author>tc={BE84A403-8730-48E1-9660-8DA76D15E821}</author>
    <author>tc={CD1EAC3F-9F9A-43E0-A12A-4563CEA1E582}</author>
    <author>tc={C2D81B23-1DE3-461B-9B34-D2FE4F30FFCB}</author>
    <author>tc={140BDC84-868B-4085-9F6E-CFA5B100978C}</author>
    <author>tc={A9301480-85D0-46F0-9178-BE33D6032863}</author>
    <author>tc={96D052EA-8483-4EA0-8055-D3E7D3E3CF30}</author>
    <author>tc={6E105D72-EF86-4BE3-B537-13E6DFC96622}</author>
    <author>tc={0B96FE43-FF4F-44CD-BABC-667065699A07}</author>
    <author>tc={23DA1953-E6D1-4519-8A62-A7B517AB9561}</author>
    <author>tc={DD550850-5FA3-4737-A929-137978832A39}</author>
    <author>tc={7AC5D53A-94CD-4110-9905-4E0BE0A7429C}</author>
    <author>tc={9E1A187F-9A57-4A6B-9069-723E59682B78}</author>
    <author>tc={4AC29281-8438-4732-B113-AB6EABBA1607}</author>
    <author>tc={9C5D9F69-2BFD-46C7-B185-4002AD4467CD}</author>
    <author>tc={AC39E438-FC1B-4EF7-9270-3B42892802E3}</author>
    <author>tc={546E488C-FB54-475E-B2F0-F9E7DA35759C}</author>
    <author>tc={C094E1DA-9EDE-4CB6-8A11-AD3D8619CF31}</author>
    <author>tc={AF8AAE99-1089-4C56-A887-970EF77E65B6}</author>
    <author>tc={FC1BE57E-0702-49A4-A0F2-ED368221612C}</author>
  </authors>
  <commentList>
    <comment ref="T3" authorId="0" shapeId="0" xr:uid="{0B00617B-8A8C-4509-AB43-BFE4E26D7DA3}">
      <text>
        <t>[Threaded comment]
Your version of Excel allows you to read this threaded comment; however, any edits to it will get removed if the file is opened in a newer version of Excel. Learn more: https://go.microsoft.com/fwlink/?linkid=870924
Comment:
    Kennismanagement en boring over generaties heen</t>
      </text>
    </comment>
    <comment ref="R8" authorId="1" shapeId="0" xr:uid="{A152B6BD-D89B-4301-B26E-CBE86ECA7F12}">
      <text>
        <t>[Threaded comment]
Your version of Excel allows you to read this threaded comment; however, any edits to it will get removed if the file is opened in a newer version of Excel. Learn more: https://go.microsoft.com/fwlink/?linkid=870924
Comment:
    Zouden de vragen 1, 2 en 3 ook timeframe 2 kunnen hebben? Dus besluitvorming over de boeggolf projecten? Of gaat dit over grotere besluiten die later komen?</t>
      </text>
    </comment>
    <comment ref="F14" authorId="2" shapeId="0" xr:uid="{9DC46815-39E5-4A68-8329-5E96C11443E2}">
      <text>
        <t>[Threaded comment]
Your version of Excel allows you to read this threaded comment; however, any edits to it will get removed if the file is opened in a newer version of Excel. Learn more: https://go.microsoft.com/fwlink/?linkid=870924
Comment:
    These = decisions for the SSBs? Interdependencies between decisions for the SSB and for the system?</t>
      </text>
    </comment>
    <comment ref="T15" authorId="3" shapeId="0" xr:uid="{6E1BDD64-D3C4-4808-B389-0559E930CB2E}">
      <text>
        <t>[Threaded comment]
Your version of Excel allows you to read this threaded comment; however, any edits to it will get removed if the file is opened in a newer version of Excel. Learn more: https://go.microsoft.com/fwlink/?linkid=870924
Comment:
    Zou deze ook aan kunnen sluiten bij 9. organisatorische aspecten en dan informatiemanagement? Dit lijkt ook te gaan over complexe informatie begrijpelijk maken voor diverse doelgroepen binnen IenW (en breder) en daarmee ook kennismanagement binnen 9.? Of zou dat dan de 3e onderzoekslijn zijn?</t>
      </text>
    </comment>
    <comment ref="T20" authorId="4" shapeId="0" xr:uid="{1DAE2514-F84B-4FD9-97F4-DE16AA6626BA}">
      <text>
        <t xml:space="preserve">[Threaded comment]
Your version of Excel allows you to read this threaded comment; however, any edits to it will get removed if the file is opened in a newer version of Excel. Learn more: https://go.microsoft.com/fwlink/?linkid=870924
Comment:
    Ik weet niet of structural failure onder faalkans of onder constructieve aspecten valt primair. Dat geldt ook voor de vragen 18, 19. Ik zou zelf ook constructief kiezen. Maar laten we deze ook even bij Marit toetsen. </t>
      </text>
    </comment>
    <comment ref="T26" authorId="5" shapeId="0" xr:uid="{BE84A403-8730-48E1-9660-8DA76D15E821}">
      <text>
        <t>[Threaded comment]
Your version of Excel allows you to read this threaded comment; however, any edits to it will get removed if the file is opened in a newer version of Excel. Learn more: https://go.microsoft.com/fwlink/?linkid=870924
Comment:
    De vraag is er breed, zullen we hier om toelichting vragen? Gaat dit vooral om monitoring? Van wat?</t>
      </text>
    </comment>
    <comment ref="T27" authorId="6" shapeId="0" xr:uid="{CD1EAC3F-9F9A-43E0-A12A-4563CEA1E582}">
      <text>
        <t xml:space="preserve">[Threaded comment]
Your version of Excel allows you to read this threaded comment; however, any edits to it will get removed if the file is opened in a newer version of Excel. Learn more: https://go.microsoft.com/fwlink/?linkid=870924
Comment:
    Ik zou hier 4. maintenance and operation (wanneer wat op tijd vervangen) en daarnaast 10. remaining lifetime (tipping points) kiezen denk ik. </t>
      </text>
    </comment>
    <comment ref="T34" authorId="7" shapeId="0" xr:uid="{C2D81B23-1DE3-461B-9B34-D2FE4F30FFCB}">
      <text>
        <t>[Threaded comment]
Your version of Excel allows you to read this threaded comment; however, any edits to it will get removed if the file is opened in a newer version of Excel. Learn more: https://go.microsoft.com/fwlink/?linkid=870924
Comment:
    Of 7. faalkans?</t>
      </text>
    </comment>
    <comment ref="F35" authorId="8" shapeId="0" xr:uid="{140BDC84-868B-4085-9F6E-CFA5B100978C}">
      <text>
        <t>[Threaded comment]
Your version of Excel allows you to read this threaded comment; however, any edits to it will get removed if the file is opened in a newer version of Excel. Learn more: https://go.microsoft.com/fwlink/?linkid=870924
Comment:
    Probability = structural failure probability?</t>
      </text>
    </comment>
    <comment ref="X35" authorId="9" shapeId="0" xr:uid="{A9301480-85D0-46F0-9178-BE33D6032863}">
      <text>
        <t>[Threaded comment]
Your version of Excel allows you to read this threaded comment; however, any edits to it will get removed if the file is opened in a newer version of Excel. Learn more: https://go.microsoft.com/fwlink/?linkid=870924
Comment:
    Bespreken met WP3: dan weglaten uit impact pathway?</t>
      </text>
    </comment>
    <comment ref="F36" authorId="10" shapeId="0" xr:uid="{96D052EA-8483-4EA0-8055-D3E7D3E3CF30}">
      <text>
        <t xml:space="preserve">[Threaded comment]
Your version of Excel allows you to read this threaded comment; however, any edits to it will get removed if the file is opened in a newer version of Excel. Learn more: https://go.microsoft.com/fwlink/?linkid=870924
Comment:
    Wat heeft dit met keuzes voor de SSB te maken? </t>
      </text>
    </comment>
    <comment ref="T38" authorId="11" shapeId="0" xr:uid="{6E105D72-EF86-4BE3-B537-13E6DFC96622}">
      <text>
        <t xml:space="preserve">[Threaded comment]
Your version of Excel allows you to read this threaded comment; however, any edits to it will get removed if the file is opened in a newer version of Excel. Learn more: https://go.microsoft.com/fwlink/?linkid=870924
Comment:
    Ook voor bespreken met RWS: adaptatie en systeem/barrier afwegingen tijdens de levensduur, waar nemen we die op? Onder levensduur (functionele prestatie) of onder adapatatie systeemniveau (maar wel tijdens de levensduur)? Geldt ook voor de volgende vragen. </t>
      </text>
    </comment>
    <comment ref="U40" authorId="12" shapeId="0" xr:uid="{0B96FE43-FF4F-44CD-BABC-667065699A07}">
      <text>
        <t>[Threaded comment]
Your version of Excel allows you to read this threaded comment; however, any edits to it will get removed if the file is opened in a newer version of Excel. Learn more: https://go.microsoft.com/fwlink/?linkid=870924
Comment:
    Ik heb 8. toegevoegd. Dit lijkt ook te gaan over culturele / maatschappelijke haalbaarheid van beslissingen?</t>
      </text>
    </comment>
    <comment ref="U41" authorId="13" shapeId="0" xr:uid="{23DA1953-E6D1-4519-8A62-A7B517AB9561}">
      <text>
        <t xml:space="preserve">[Threaded comment]
Your version of Excel allows you to read this threaded comment; however, any edits to it will get removed if the file is opened in a newer version of Excel. Learn more: https://go.microsoft.com/fwlink/?linkid=870924
Comment:
    Ik heb deze toegevoegd, of bedoelen ze niet ook corrosie? Dan deze weghalen. </t>
      </text>
    </comment>
    <comment ref="X41" authorId="14" shapeId="0" xr:uid="{DD550850-5FA3-4737-A929-137978832A39}">
      <text>
        <t>[Threaded comment]
Your version of Excel allows you to read this threaded comment; however, any edits to it will get removed if the file is opened in a newer version of Excel. Learn more: https://go.microsoft.com/fwlink/?linkid=870924
Comment:
    Bespreken met wie dit heeft opgeschreven: weglaten uit impact pathway (mag best blijven staan in het hoofdstuk)?</t>
      </text>
    </comment>
    <comment ref="F44" authorId="15" shapeId="0" xr:uid="{7AC5D53A-94CD-4110-9905-4E0BE0A7429C}">
      <text>
        <t>[Threaded comment]
Your version of Excel allows you to read this threaded comment; however, any edits to it will get removed if the file is opened in a newer version of Excel. Learn more: https://go.microsoft.com/fwlink/?linkid=870924
Comment:
    Ik snap deze vraag niet voldoende. Gaat het om invloed van dredging op de werking van de kering? Wat is de rol van de kering in de vraag?</t>
      </text>
    </comment>
    <comment ref="U46" authorId="16" shapeId="0" xr:uid="{9E1A187F-9A57-4A6B-9069-723E59682B78}">
      <text>
        <t>[Threaded comment]
Your version of Excel allows you to read this threaded comment; however, any edits to it will get removed if the file is opened in a newer version of Excel. Learn more: https://go.microsoft.com/fwlink/?linkid=870924
Comment:
    Hoe?</t>
      </text>
    </comment>
    <comment ref="T47" authorId="17" shapeId="0" xr:uid="{4AC29281-8438-4732-B113-AB6EABBA1607}">
      <text>
        <t>[Threaded comment]
Your version of Excel allows you to read this threaded comment; however, any edits to it will get removed if the file is opened in a newer version of Excel. Learn more: https://go.microsoft.com/fwlink/?linkid=870924
Comment:
    Check bij Marit: waar nemen we aanpassing van sluitcriteria en sluitregime in mee? Dit is ook effect van de kering op de omgeving, en daarmee levensduur (functionele prestatie)?</t>
      </text>
    </comment>
    <comment ref="X48" authorId="18" shapeId="0" xr:uid="{9C5D9F69-2BFD-46C7-B185-4002AD4467CD}">
      <text>
        <t xml:space="preserve">[Threaded comment]
Your version of Excel allows you to read this threaded comment; however, any edits to it will get removed if the file is opened in a newer version of Excel. Learn more: https://go.microsoft.com/fwlink/?linkid=870924
Comment:
    Ja, ik dacht ook direct aan WP2 bij deze vraag. </t>
      </text>
    </comment>
    <comment ref="F50" authorId="19" shapeId="0" xr:uid="{AC39E438-FC1B-4EF7-9270-3B42892802E3}">
      <text>
        <t>[Threaded comment]
Your version of Excel allows you to read this threaded comment; however, any edits to it will get removed if the file is opened in a newer version of Excel. Learn more: https://go.microsoft.com/fwlink/?linkid=870924
Comment:
    Boundary conditions van wat?</t>
      </text>
    </comment>
    <comment ref="T53" authorId="20" shapeId="0" xr:uid="{546E488C-FB54-475E-B2F0-F9E7DA35759C}">
      <text>
        <t>[Threaded comment]
Your version of Excel allows you to read this threaded comment; however, any edits to it will get removed if the file is opened in a newer version of Excel. Learn more: https://go.microsoft.com/fwlink/?linkid=870924
Comment:
    Levensduur kiezen?  Dit is echt functionele prestatie</t>
      </text>
    </comment>
    <comment ref="U61" authorId="21" shapeId="0" xr:uid="{C094E1DA-9EDE-4CB6-8A11-AD3D8619CF31}">
      <text>
        <t>[Threaded comment]
Your version of Excel allows you to read this threaded comment; however, any edits to it will get removed if the file is opened in a newer version of Excel. Learn more: https://go.microsoft.com/fwlink/?linkid=870924
Comment:
    8 ook toevoegen? Het zou ook nog bij 9 organisatorische aspecten (informatiemanagement, samenwerking met stakeholders) kunnen passen?</t>
      </text>
    </comment>
    <comment ref="T62" authorId="22" shapeId="0" xr:uid="{AF8AAE99-1089-4C56-A887-970EF77E65B6}">
      <text>
        <t>[Threaded comment]
Your version of Excel allows you to read this threaded comment; however, any edits to it will get removed if the file is opened in a newer version of Excel. Learn more: https://go.microsoft.com/fwlink/?linkid=870924
Comment:
    Kan dit ook 8 systeemniveau zijn, dus ook alternatieven van een SSB?</t>
      </text>
    </comment>
    <comment ref="T63" authorId="23" shapeId="0" xr:uid="{FC1BE57E-0702-49A4-A0F2-ED368221612C}">
      <text>
        <t>[Threaded comment]
Your version of Excel allows you to read this threaded comment; however, any edits to it will get removed if the file is opened in a newer version of Excel. Learn more: https://go.microsoft.com/fwlink/?linkid=870924
Comment:
    Ik denk dat ik niet voldoende  begrijp van dit onderzoek om een categorie toe te kunnen voegen. Kan trust in bv RWS leiden tot een verandering van de levensduur?? Ik kan me voorstellen dat cultuur en vertrouwen invloed kan hebben op grote beslissingen over het systeem (bv middels stemmen op een politieke partij), dan 8. Ik kan me ook voorstellen dat RWS haar naam hoog wil houden, dan is het misschien 9? Misschien kunnen we de onderzoeker vragen om ons hierbij te helpen? Of heb jij wel een beter beeld van dit onderzoek?</t>
      </text>
    </comment>
  </commentList>
</comments>
</file>

<file path=xl/sharedStrings.xml><?xml version="1.0" encoding="utf-8"?>
<sst xmlns="http://schemas.openxmlformats.org/spreadsheetml/2006/main" count="473" uniqueCount="236">
  <si>
    <t>Code van de kennisvraag bv RP_ET1</t>
  </si>
  <si>
    <t>nummer van de '160 kennisvragenlijst'</t>
  </si>
  <si>
    <t xml:space="preserve">omschrijving van de vraag </t>
  </si>
  <si>
    <t>Impact van het niet weten / beantwoorden van de vraag op overige functies (scheepvaart, ecologie, sedimenttransport etc.). (0 - 3, 0 geen invloed, 3 is zeer grote invloed)</t>
  </si>
  <si>
    <t>Impact van het niet weten / beantwoorden van de vraag op  budget, planning en uitvoering van BenO. (0 - 3, 0 geen invloed, 3 is zeer grote invloed)</t>
  </si>
  <si>
    <t>impact van het niet weten/beantwoorden van de vraag op de operatie van sluiten en openen van de kering door het operationeel team. 1=laag; 2=middel;  3=hoog</t>
  </si>
  <si>
    <t>Wanneer is het antwoord op de kennisvraag nodig? Hierbij zijn 4 categorieen gekozen: 
0=antwoord levert te weinig op, kennisvraag niet oppakken
1= nu; 
2=2033-2040; 
3=&gt;2040</t>
  </si>
  <si>
    <t>Bij welke onderzoekslijn hoort de kennisvraag primair? Keuze uit (zie tabel 'Onderzoekslijnen)</t>
  </si>
  <si>
    <t>Bij welke onderzoekslijn hoort de kennisvraag secundair?  (zie tabel 'Onderzoekslijnen'</t>
  </si>
  <si>
    <t>Toelichting keuze onderzoekslijn (niet voor de database voor nu)</t>
  </si>
  <si>
    <t>Wat is de status van de onderzoekslijn? Wordt dit al opgepakt in een project of programma? Wordt dit een beschrijving of 1 = wordt nog niet opgepakt; 2 = wordt of is gedeelteliik opgepakt; 3=bestaande studie gaat voor de antwoorden zorgen</t>
  </si>
  <si>
    <t>Zeer grove inschatting van de kosten om de kennisvraag te beantwoorden, inclusief materiaalkosten en aanleg indien relevant</t>
  </si>
  <si>
    <t xml:space="preserve">Hoeveel tijd is nodig om de kennisvraag te beantwoorden? Van het starten aan het werken aan de kennisvraag tot eventuele implementatie in het veld. </t>
  </si>
  <si>
    <t>Toelichting status onderzoek (niet voor de database voor nu)</t>
  </si>
  <si>
    <t>Toelichting waar moet het belged worden (niet voor de database voor nu)</t>
  </si>
  <si>
    <t>Toelichting status, kosten en doorlooptijd studie (niet voor de database voor nu)</t>
  </si>
  <si>
    <t xml:space="preserve">Willen we uiteindelijk ook in de database alle literatuur / documenten opnemen met nummering? Voor later. </t>
  </si>
  <si>
    <t>SVK</t>
  </si>
  <si>
    <t>Code</t>
  </si>
  <si>
    <t>link met andere code (indien relevent)</t>
  </si>
  <si>
    <t>kennisvraag nummer</t>
  </si>
  <si>
    <t>keywords kennisvraag</t>
  </si>
  <si>
    <t>Kennisvraag</t>
  </si>
  <si>
    <t>Toelichting kennisvraag</t>
  </si>
  <si>
    <t>Prioriteit: Functies (anders dan waterveiligheid)</t>
  </si>
  <si>
    <t xml:space="preserve">Prioriteit: BenO (budget, planning en uitvoering) </t>
  </si>
  <si>
    <t>Prioriteit: Operatie (OT)</t>
  </si>
  <si>
    <t xml:space="preserve">Tijd </t>
  </si>
  <si>
    <t>Onderzoekslijn eerste keus</t>
  </si>
  <si>
    <t>Onderzoekslijn tweede keus (indien nodig)</t>
  </si>
  <si>
    <t>toelichting tijd / wanneer antwoord nodig</t>
  </si>
  <si>
    <t>toelichting onderzoekslijn</t>
  </si>
  <si>
    <t>status</t>
  </si>
  <si>
    <t>Waar belegd</t>
  </si>
  <si>
    <t>kosten [euro]</t>
  </si>
  <si>
    <t>doorlooptijd [jaren]</t>
  </si>
  <si>
    <t>Toelichting status onderzoek (niet voor de database)</t>
  </si>
  <si>
    <t>Toelichting waar moet het belged worden</t>
  </si>
  <si>
    <t>Toelichting kosten en doorlooptijd studie (niet voor de database)</t>
  </si>
  <si>
    <t>relevante documenten</t>
  </si>
  <si>
    <t>2.1</t>
  </si>
  <si>
    <t>2.2</t>
  </si>
  <si>
    <t>How and why are the current maintenance plans established, which decision structures are currently active and how do they operate?</t>
  </si>
  <si>
    <t>Which influences from outside affect the operation and maintenance of storm surge barriers?</t>
  </si>
  <si>
    <t>What tools or methods are suitable for a decision framework that facilitates a dynamic asset planning?</t>
  </si>
  <si>
    <t xml:space="preserve">How to apply the decision framework to real SSB case study to arrive at a dynamic asset planning? </t>
  </si>
  <si>
    <t>2.3</t>
  </si>
  <si>
    <t>How to grasp organisational decision structures?</t>
  </si>
  <si>
    <t>How to translate complex decision-making mechanisms to decision making frameworks and/or algorithms that facilitate dynamic maintenance planning?</t>
  </si>
  <si>
    <t>We need a convincing case to demonstrate how to arrive at a dynamic asset planning for major maintenance to gain support for outcome and impact.</t>
  </si>
  <si>
    <t>How to identify outside influences and their impact for SSB maintenance? How to include adaptive delta system planning?</t>
  </si>
  <si>
    <t>How do (extreme) local hydraulic loads on the barriers, consisting of water levels, short wave loads (Eastern Scheldt Barrier), and the long wave loads like seiches (Maeslant Barrier), change with changing climate and maintenance/adaptation of the barrier?</t>
  </si>
  <si>
    <t>What is the structural response of the storm surge barrier to the above hydraulic loads? What are the weakest links and how would the (adapted) barrier respond in more extreme conditions?</t>
  </si>
  <si>
    <t xml:space="preserve"> How to quantify the structural reliability of the storm surge barrier accurately under these changing conditions and thereby reduce conservatism?</t>
  </si>
  <si>
    <t>ESB, MLB</t>
  </si>
  <si>
    <t>6SSB</t>
  </si>
  <si>
    <t>What is the structural failure probability of the barrier?</t>
  </si>
  <si>
    <t>How can the structure (or assessment) be adapted such that the probability decreases . (measure to update an insufficient barrier).</t>
  </si>
  <si>
    <t>Which barrier elements/processes contribute most to the closure failure probability and how could those be optimised to reduce that probability?</t>
  </si>
  <si>
    <t>How can we monitor the structural performance?</t>
  </si>
  <si>
    <t>How do changes in boundary conditions affect structural response, condition, and the interpretation of monitoring outcomes?</t>
  </si>
  <si>
    <t>Not included</t>
  </si>
  <si>
    <t>Structural failure probability needs to remain below critical level mentioned in the law</t>
  </si>
  <si>
    <t>Changing environmental and operational conditions affecting barrier performance</t>
  </si>
  <si>
    <t>3.3</t>
  </si>
  <si>
    <t>3.1</t>
  </si>
  <si>
    <t>What is the critical loading on the critical barrier elements and how can that best be quantified? ( ESB: wave forces on the gates, MLB: head differences and negative head)</t>
  </si>
  <si>
    <t>3.2</t>
  </si>
  <si>
    <t>4.2</t>
  </si>
  <si>
    <t>4.3</t>
  </si>
  <si>
    <t>How to quantify the change in functional performance of the barrier?</t>
  </si>
  <si>
    <t>How does SLR affect future maintenance in SSB’s and what does that mean for their lifetime.</t>
  </si>
  <si>
    <t>How do fluvial floods affect closure frequency?</t>
  </si>
  <si>
    <t xml:space="preserve">How to systematically assess SSB decisions under broad delta decisions? </t>
  </si>
  <si>
    <t>4.1</t>
  </si>
  <si>
    <t xml:space="preserve">Uncertain how SLR influences the functional performance of the barrier </t>
  </si>
  <si>
    <t>Uncertain how river (flood) discharge divisions change</t>
  </si>
  <si>
    <t>Uncertain how broad delta decisions (meebewegen/beschermen) affect storm surge barrier decisions</t>
  </si>
  <si>
    <t>Will water quality/salinity affect SSB operations/maintenance/end-of-life?</t>
  </si>
  <si>
    <t>How to asses how SSB operation in future delta scenarios and future delta scenarios in general affect Shipping</t>
  </si>
  <si>
    <t>How to identify tipping points for SSB functional performance without assessing everything? (impact on water quality, biodiversity/ecology)</t>
  </si>
  <si>
    <t>What are the implications of dredging on flood risk?</t>
  </si>
  <si>
    <t>How can technical changes in SSB change flood risk, and how can this be assessed correctly</t>
  </si>
  <si>
    <t>What functions/stakeholders/sectors should the SSBs and water system support in the future</t>
  </si>
  <si>
    <t>How do public and political perspectives on SSB adaptation align or diverge, and what are implications for decision-making?</t>
  </si>
  <si>
    <t>SSBs contribute to satisfying socio-economic and environmental needs in the hinterland</t>
  </si>
  <si>
    <t>Reliable SSBs in technically good condition</t>
  </si>
  <si>
    <t>Human capital for a safe and liveable delta</t>
  </si>
  <si>
    <t>The Dutch Delta is an example how to deal with climate change in low-lying delta countries and the Dutch water sector remains a frontrunner</t>
  </si>
  <si>
    <t>Well-balanced maintenance and end-of-life decisions for the SSBs by including the system, technical and economical perspective.</t>
  </si>
  <si>
    <t>impact category</t>
  </si>
  <si>
    <t>What are the hydraulic loads on dikes around Eastern Scheldt when the closure level is increased?</t>
  </si>
  <si>
    <t>What is the required dike reinforcement (spatial footprint) and costs in combination with the SSB strategy?</t>
  </si>
  <si>
    <t>ESB</t>
  </si>
  <si>
    <t>What is the impact on areas that are unprotected  (‘buitendijks’) given an increase in closure level?</t>
  </si>
  <si>
    <t>What is the impact on dike stability and upkeep requirements given an increase in closure level?</t>
  </si>
  <si>
    <t>What is the impact of an increase in closure frequency on shipping?</t>
  </si>
  <si>
    <t>Shallower channels, erosion</t>
  </si>
  <si>
    <t>Is dit een kennisvraag voor een specifieke kering of voor alle SVK? 6SSB (overkoepelende vraag voor de 6 stormvloedkeringen), ESB, MSB</t>
  </si>
  <si>
    <t>Impact van het niet weten / beantwoorden van de vraag op de functie waterveiligheid. 0=geen invloed; 1=laag; 2=middel;  3=hoog</t>
  </si>
  <si>
    <t>In welk WP van SSB Delta?</t>
  </si>
  <si>
    <t>toelichting prioriteit / outcome</t>
  </si>
  <si>
    <t>9. Organisational aspects</t>
  </si>
  <si>
    <t>8. Adaptation system level</t>
  </si>
  <si>
    <t>10. Remaining lifetime of existing objects</t>
  </si>
  <si>
    <t>4. Maintenance and operation</t>
  </si>
  <si>
    <t>1. Structural aspects</t>
  </si>
  <si>
    <t>Prioriteit: Functie waterveiligheid (uitgedrukt in Failure probability)</t>
  </si>
  <si>
    <t>7. Failure probability</t>
  </si>
  <si>
    <t>6. Hydrodynamical loads and effects</t>
  </si>
  <si>
    <t xml:space="preserve">Opmerkingen:
1. Waar valt optimaliseren sluitregime onder? Bv hoe stroming meenemen in sluitregime, of anders meten en monitoren voor bepalen wel/geen sluiting. Valt onder 4 Maintenance and operation </t>
  </si>
  <si>
    <t>How do levels of public support differ across alternative storm surge barrier adaptation scenarios?</t>
  </si>
  <si>
    <t>How do perceptions of risk, effectiveness, uncertainty, affective responses, and institutional trust shape public support?</t>
  </si>
  <si>
    <t>How does perceived fairness in the distribution of adaptation costs and benefits across time and space shape public support?</t>
  </si>
  <si>
    <t>How do perceptions of storm surge barriers as symbols of identity and culture shape public support for their adaptation?</t>
  </si>
  <si>
    <t>4.3_1</t>
  </si>
  <si>
    <t>4.3_2</t>
  </si>
  <si>
    <t>4.3_3</t>
  </si>
  <si>
    <t>4.3_4</t>
  </si>
  <si>
    <t>Number</t>
  </si>
  <si>
    <t>Impact category</t>
  </si>
  <si>
    <t>Explanation</t>
  </si>
  <si>
    <t>zat deze toelichting al in de Excel?</t>
  </si>
  <si>
    <t>Research line</t>
  </si>
  <si>
    <t>The storm surge barriers contribute to satisfying the socio-economic and environmental needs in the hinterland. This implies that people, knowledge, data, and tools are available to determine what thehinterland requires from the storm surge barrier. These requirements will likely evolve over time due to changes in sea-level as well as changes in society.</t>
  </si>
  <si>
    <t xml:space="preserve"> The storm surge barrier is reliable and in a good technical condition. The barrier is properly monitored and methods are available to determine the technical condition. Methods like an adaptive maintenance planning and people are available for timely decisions on maintenance and reinforcement of (parts of) the storm surge barrier in relation to the needs from the hinterland.</t>
  </si>
  <si>
    <t xml:space="preserve"> A well-balanced maintenance is enabled and end-of-lifetime decision for the storm surge barriers can be made by including the system, technical and economical perspective. A time-based adaptive pathway is available to determine when a storm surge barrier reaches its end of life (functional and structural) and what the options and impacts are for maintenance, removal, replacement, closure. Supporting near-future decision making and avoiding maladaptation.</t>
  </si>
  <si>
    <t xml:space="preserve"> Human capital for a safe and liveable delta. There is a knowledgeable community of professionals that is enabled to cope with the challenges in deltas.</t>
  </si>
  <si>
    <t xml:space="preserve"> The Dutch Delta is an example how to deal with climate change in low-lying delta-countries and the Dutch Water sector remains a frontrunner. Knowledge and experience are shared in an inclusive international community with organizations and countries facing similar climate challenges.</t>
  </si>
  <si>
    <t>2. Control systems and industrial automation</t>
  </si>
  <si>
    <t>3. Facilities and buildings</t>
  </si>
  <si>
    <t>8. System-level adaptation</t>
  </si>
  <si>
    <t>10. Remaining lifetime</t>
  </si>
  <si>
    <t>6. Hydrodynamic effects and loads</t>
  </si>
  <si>
    <t>5. Cyber and security</t>
  </si>
  <si>
    <t xml:space="preserve">What is the uncertainty in modelled hydrodynamic conditions under extreme storm scenarios (wave conditions and water levels during a 1/10000-year storm)? </t>
  </si>
  <si>
    <t xml:space="preserve">How does the operational strategy influence the hydrodynamic loads on the barrier? </t>
  </si>
  <si>
    <t>3_1</t>
  </si>
  <si>
    <t>3_2</t>
  </si>
  <si>
    <t>3_3</t>
  </si>
  <si>
    <t>3.1_1</t>
  </si>
  <si>
    <t>3.1_2</t>
  </si>
  <si>
    <t>3.1_3</t>
  </si>
  <si>
    <t>Which main failure mechanism (failure to close, structural failure or hydraulic overload) is dominant for the Eastern Scheldt barrier? And how does that change with (up to 0.5m) sea level rise and economic development in the coming 50 years? </t>
  </si>
  <si>
    <t>How to adapt the Eastern Scheldt barrier in a systematic risk-based manner?</t>
  </si>
  <si>
    <t>3.3_1</t>
  </si>
  <si>
    <t>3.3_2</t>
  </si>
  <si>
    <t>1_1</t>
  </si>
  <si>
    <t>1_2</t>
  </si>
  <si>
    <t>Knowledge management: BSc and MSc projects, and an interdisciplinary summer school</t>
  </si>
  <si>
    <t>Knowledge disseminiation: Results will be shared via the I-STORM network. Project partners contintue to use and develop the tools and methods, and apply these to international cases.</t>
  </si>
  <si>
    <t>3.2_2</t>
  </si>
  <si>
    <t>3.2_3</t>
  </si>
  <si>
    <t>3.2_4</t>
  </si>
  <si>
    <t>How to monitor the structural health and performance under changing use and conditions? How can monitoring be used to evaluate deviations from design assumptions, modelled scenarios, and adaptation pathways, enabling timely adjustment of maintenance and adaptation actions?</t>
  </si>
  <si>
    <t>3.2_1</t>
  </si>
  <si>
    <t>impact van het niet weten/beantwoorden van de vraag op decision-making at system level and societal support. 1=laag; 2=middel;  3=hoog</t>
  </si>
  <si>
    <t>Urgency: Decision-making</t>
  </si>
  <si>
    <t>What is the erosion of tidal flats and how will these erosion trends develop in the future?</t>
  </si>
  <si>
    <t>4.1_4</t>
  </si>
  <si>
    <t xml:space="preserve">Is the erosion of tidal flats finding an equilibrium? 
What are the morphological developments of the tidal channels?
What factors contribute most to erosion of tidal flats (SLR, altered hydrodynamics due to the barrier)? 
Is there a correlation between erosion of the tidal flats (loss in intertidal area) and the loss in species (benthic fauna, waders) numbers? </t>
  </si>
  <si>
    <t xml:space="preserve">How is water quality altered with changing future boundary conditions? </t>
  </si>
  <si>
    <t xml:space="preserve">What is the water quality due to water temperature increase?
How does salinization and salt intrusion in the water system progress with future boundary conditions. 
What are the effects for water quality for future systems ecology (vegetation, benthic fauna). </t>
  </si>
  <si>
    <t>4.1_5</t>
  </si>
  <si>
    <t xml:space="preserve">What does an increased closing frequency as a result of SLR and/or alternative barrier management mean for the morphology of the hinterland? </t>
  </si>
  <si>
    <t>4.1_1</t>
  </si>
  <si>
    <t>Is there significant morphological development due to expected closure frequencies? (If so, what are tipping points?)</t>
  </si>
  <si>
    <t>How do storm surge barriers affect channel and delta morphology?</t>
  </si>
  <si>
    <t>What are is the morphological equilibrium the delta system develops toward without presences of SSB's? 
How do SSB's (and other flood risk measures/delta management practices) alter this natural equilibrium? 
How will the morphological processes (e.g. erosion, aggradation) change with future SLR and boundary conditions?
And other way around: How do changes in channel morphology affect SSB (decisions)?</t>
  </si>
  <si>
    <t>4.1_3</t>
  </si>
  <si>
    <t>Are there morphological alterations/developments within the system that alter the flood risk (and with that flood risk management)?</t>
  </si>
  <si>
    <t>4.1_2</t>
  </si>
  <si>
    <t>How do storm surge barrier operation, closure strategies, and reliability influence hydraulic loads, failure probabilities of interior defences, and flood consequences at the system level?</t>
  </si>
  <si>
    <t>4.2_4</t>
  </si>
  <si>
    <t>How can system-wide flood risk in deltas protected by storm surge barriers be assessed under future climate and socio-economic scenarios, in a way that explicitly accounts for storm surge barrier operation, reliability, and system interactions, and supports adaptive long-term decision-making?</t>
  </si>
  <si>
    <t>4.2_1</t>
  </si>
  <si>
    <t>4.2_2</t>
  </si>
  <si>
    <t>4.2_3</t>
  </si>
  <si>
    <t>4.2_5</t>
  </si>
  <si>
    <t>4.2_6</t>
  </si>
  <si>
    <t>4.2_7</t>
  </si>
  <si>
    <t>What is the current flood risk modelling instrumentation?</t>
  </si>
  <si>
    <t>What is the communication between the flood risk models, the assumptions and the model owners?</t>
  </si>
  <si>
    <t>To what extent is the current Dutch flood-risk modelling instrumentarium suitable for assessing system-wide flood risk and supporting adaptive decision-making in storm surge barrier–protected systems?</t>
  </si>
  <si>
    <t>How can a reduced-order, system-level flood risk model be developed that consistently links barrier performance, hydraulic loading, flood defence failure, inundation, and consequences while remaining computationally efficient?</t>
  </si>
  <si>
    <t>How can the developed flood risk assessment method be used to evaluate adaptive strategies for storm surge barrier operation, maintenance, and system adaptation under deep uncertainty?</t>
  </si>
  <si>
    <t xml:space="preserve"> </t>
  </si>
  <si>
    <t>Main research question of PhD 4.2</t>
  </si>
  <si>
    <t>Supporting question to answer main research question (4.2_1)</t>
  </si>
  <si>
    <t>This question is important because in order to help decision makers it is key to give a technocratic perspective on the different adaption measures we can take for future flood risk reduction</t>
  </si>
  <si>
    <t>It is important to answer this question in order to get an overview of how the current flood risk and future flood risk is determined so that we can look at ways to improve it</t>
  </si>
  <si>
    <t>The communication between models and assumptions within models are important to know so that they can be accounted for in system wide calculations and so that over conservatism can be eliminated.</t>
  </si>
  <si>
    <t>The answer to this question gives way to future analysis of storm surge barrier operation strategies and when and under what circumstances it would be necessary to replace the structure in the future etc.</t>
  </si>
  <si>
    <t>The answer to this question would show the impact of the new model, and would reduce work for the new model if the current instrumentation can already answer the question.</t>
  </si>
  <si>
    <t>This question will give rise to a model that can explore system-wide future scenarios effectively so that a large solution space can be explored.</t>
  </si>
  <si>
    <t>This question wraps the work package up and links it to work package 2 so that decision makers have a tool to work with</t>
  </si>
  <si>
    <t xml:space="preserve">What are key uncertainties, ambiguities and tensions in the governance of storm surge barriers? </t>
  </si>
  <si>
    <t>What governance mechanisms facilitate collaborative decision-making of storm surge barriers?</t>
  </si>
  <si>
    <t>What are suitable tools and methods that can support the governance of storm surge barriers?</t>
  </si>
  <si>
    <t>How can we analyse the role of storm surge barriers in wider delta adaptation under uncertain changing conditions?</t>
  </si>
  <si>
    <t xml:space="preserve">How can we connect storm surge barrier functioning with objectives and adaptation in the wider delta system in an uncertain changing climate and socio-economic context? </t>
  </si>
  <si>
    <t xml:space="preserve">How to nest decisions for the storm surge barriers in the wider delta system adaptive pathways, and identify pivotal decisions? </t>
  </si>
  <si>
    <t>How can we quantitatively explore multiple pathways for the storm surge barriers within the wider delta system?</t>
  </si>
  <si>
    <t xml:space="preserve">How to analyse multi-dimensional pathways of the complex, interdependent delta system and storm surge barrier elements under deep uncertainty? </t>
  </si>
  <si>
    <t>How can a decision framework be developed for dynamic maintenance planning at storm surge barriers to ensure reliable operation in an uncertain future?</t>
  </si>
  <si>
    <t>2.1_1</t>
  </si>
  <si>
    <t>2.1_2</t>
  </si>
  <si>
    <t>2.1_3</t>
  </si>
  <si>
    <t>2.2_1</t>
  </si>
  <si>
    <t>2.2_3</t>
  </si>
  <si>
    <t>2.2_4</t>
  </si>
  <si>
    <t>2.2_5</t>
  </si>
  <si>
    <t>2.3_1</t>
  </si>
  <si>
    <t>2.3_2</t>
  </si>
  <si>
    <t>2.3_3</t>
  </si>
  <si>
    <t>2.3_4</t>
  </si>
  <si>
    <t>2.3_5</t>
  </si>
  <si>
    <t>A selection and further specification of adaptation scenarios still needs to be made from the 3 categories below, potentially the first and the last categories are most interesting/relevant for the Maeslant barrier and Eastern Scheldt barrier. 
o	Operational adjustments (e.g., closing frequency / closing threshold)
o	Physical adaptations (e.g., strengthening or replacing infrastructure)
o	More radical options (e.g., open vs. closed system configurations)</t>
  </si>
  <si>
    <t>o	Problem–solution evaluation (Does it work, and is it necessary?)
o	This question aligns with the broader PhD research, which aims to identify the psychological mechanisms that explain public support for climate adaptation policies and decision-making in the Southwestern Delta.</t>
  </si>
  <si>
    <t>o	Spatial and temporal justice, normative dimension (is the distribution of costs and benefits fair?)
o	Further elaborates on and extends psychological mechanisms identified in previous studies that explain support for adaptation measures at relatively small spatial scales (e.g., traditional dike reinforcement or nature-based solutions). This becomes particularly relevant in the context of storm surge barrier adaptation, as such interventions are likely to affect the broader system. Impacts are not only local but also regional, and not only present-day but also future-oriented.</t>
  </si>
  <si>
    <t>o	Identity and symbolism (What does this mean for who we are?)
o	Previous studies have shown that socio-emotional and identity-related attachment are associated with resistance to drastic adaptation measures as they are perceived to pose a threat to the bonds people have with their surroundings. In line with this, adaptation decisions of storm surge barriers, particularly the more radical ones, may be opposed as they may imply a loss of identity, culture and a sense of who we are. Potentially relevant for decision making around the storm surge barriers, but also contributes to theory by building on and extending classical place attachment research.</t>
  </si>
  <si>
    <t>Outcome category</t>
  </si>
  <si>
    <t>Link to impact number</t>
  </si>
  <si>
    <t>Outcome number</t>
  </si>
  <si>
    <t>staat dit in het voorstel benoemd?</t>
  </si>
  <si>
    <t>impact category number</t>
  </si>
  <si>
    <t>Understanding public support for different adaptation pathways is essential because societal acceptance shapes (in part )whether operational, structural, or transformational adaptation options are politically and practically feasible.</t>
  </si>
  <si>
    <t>Perceptions of risk, trust, uncertainty, and fairness shape support for adaptation measures; these factors influence the willingness of various groups to accept costs, changes, or restrictions. This contributes to a better understanding why the public support is shaped in the way it is, and how communication strategies can influence this.</t>
  </si>
  <si>
    <t xml:space="preserve">Understanding fairness in how adaptation costs and benefits are distributed across regions and generations supports more legitimate and fair long‑term decision‑making, and can help inform communication strategies towards the general public. </t>
  </si>
  <si>
    <t>Storm surge barriers serve as cultural and identity symbols; public attachment to these structures influences the acceptability of modifications, replacements, or transformational adaptation</t>
  </si>
  <si>
    <t>Outcome category number</t>
  </si>
  <si>
    <t xml:space="preserve">Outcome category </t>
  </si>
  <si>
    <t>Monitoring can contribute to enabling more efficient maintenance planning and extend component lifetimes.</t>
  </si>
  <si>
    <t>Identifying which elements contribute most to closure failure probability helps refine risk models, informs targeted upgrades, and reduces dominant failure pathways, especially for the Maeslant Barrier where uncertainty is still high.</t>
  </si>
  <si>
    <t>A better understanding of structural performance under varying conditions directly informs maintenance planning, supports accurate flood‑risk calculations, and clarifies which monitoring methods meaningfully improve the reliability of the barrier</t>
  </si>
  <si>
    <t>Changes in boundary conditions (waves, water levels, wind) affect structural response and monitoring interpretation. Understanding this is important to shape future maintenance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</si>
</sst>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rgb="FFFF0000"/>
      <name val="Aptos Narrow"/>
      <family val="2"/>
      <scheme val="minor"/>
    </font>
    <font>
      <sz val="11"/>
      <color theme="0"/>
      <name val="Aptos Narrow"/>
      <family val="2"/>
      <scheme val="minor"/>
    </font>
    <font>
      <sz val="11"/>
      <name val="Aptos Narrow"/>
      <family val="2"/>
      <scheme val="minor"/>
    </font>
    <font>
      <sz val="10"/>
      <color theme="1"/>
      <name val="Arial"/>
      <family val="2"/>
    </font>
    <font>
      <sz val="11"/>
      <color rgb="FF000000"/>
      <name val="Aptos Narrow"/>
      <family val="2"/>
    </font>
    <font>
      <sz val="11"/>
      <color rgb="FF000000"/>
      <name val="Aptos Narrow"/>
      <family val="2"/>
      <scheme val="minor"/>
    </font>
    <font>
      <sz val="11"/>
      <name val="Aptos Narrow"/>
      <family val="2"/>
    </font>
    <font>
      <sz val="11"/>
      <color theme="1"/>
      <name val="Aptos Narrow"/>
      <family val="2"/>
    </font>
    <font>
      <sz val="11"/>
      <color rgb="FFFF0000"/>
      <name val="Aptos Narrow"/>
      <family val="2"/>
    </font>
    <font>
      <b/>
      <sz val="11"/>
      <name val="Aptos Narrow"/>
      <family val="2"/>
      <scheme val="minor"/>
    </font>
    <font>
      <sz val="8"/>
      <name val="Aptos Narrow"/>
      <family val="2"/>
      <scheme val="minor"/>
    </font>
    <font>
      <sz val="11"/>
      <color theme="0" tint="-0.499984740745262"/>
      <name val="Aptos Narrow"/>
      <family val="2"/>
      <scheme val="minor"/>
    </font>
    <font>
      <sz val="11"/>
      <color theme="1"/>
      <name val="Arial"/>
      <family val="2"/>
    </font>
    <font>
      <sz val="11"/>
      <color theme="0" tint="-0.34998626667073579"/>
      <name val="Aptos Narrow"/>
      <family val="2"/>
      <scheme val="minor"/>
    </font>
    <font>
      <sz val="11"/>
      <color rgb="FF000000"/>
      <name val="Arial"/>
      <family val="2"/>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002060"/>
        <bgColor indexed="64"/>
      </patternFill>
    </fill>
    <fill>
      <patternFill patternType="solid">
        <fgColor theme="5"/>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43">
    <xf numFmtId="0" fontId="0" fillId="0" borderId="0" xfId="0"/>
    <xf numFmtId="0" fontId="0" fillId="0" borderId="0" xfId="0"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0" fillId="2" borderId="0" xfId="0" applyFill="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xf numFmtId="0" fontId="2" fillId="3" borderId="0" xfId="0" applyFont="1" applyFill="1" applyAlignment="1">
      <alignment horizontal="left" vertical="top"/>
    </xf>
    <xf numFmtId="0" fontId="2" fillId="3" borderId="0" xfId="0" applyFont="1" applyFill="1" applyAlignment="1">
      <alignment horizontal="left" vertical="top" wrapText="1"/>
    </xf>
    <xf numFmtId="0" fontId="2" fillId="4" borderId="0" xfId="0" applyFont="1" applyFill="1" applyAlignment="1">
      <alignment horizontal="left" vertical="top" wrapText="1"/>
    </xf>
    <xf numFmtId="0" fontId="5" fillId="0" borderId="0" xfId="0" applyFont="1" applyAlignment="1">
      <alignment horizontal="left" vertical="top" wrapText="1"/>
    </xf>
    <xf numFmtId="3" fontId="0" fillId="0" borderId="0" xfId="0" applyNumberFormat="1" applyAlignment="1">
      <alignment horizontal="left" vertical="top"/>
    </xf>
    <xf numFmtId="0" fontId="6" fillId="0" borderId="0" xfId="0" applyFont="1" applyAlignment="1">
      <alignment horizontal="left" vertical="top" wrapText="1"/>
    </xf>
    <xf numFmtId="0" fontId="7" fillId="0" borderId="0" xfId="0" applyFont="1" applyAlignment="1">
      <alignment vertical="top" wrapText="1"/>
    </xf>
    <xf numFmtId="0" fontId="3" fillId="0" borderId="0" xfId="0" applyFont="1" applyAlignment="1">
      <alignment horizontal="left" vertical="top"/>
    </xf>
    <xf numFmtId="0" fontId="7" fillId="0" borderId="0" xfId="0" applyFont="1" applyAlignment="1">
      <alignment horizontal="left" vertical="top" wrapText="1"/>
    </xf>
    <xf numFmtId="0" fontId="5" fillId="0" borderId="0" xfId="0" applyFont="1" applyAlignment="1">
      <alignment horizontal="left" vertical="top"/>
    </xf>
    <xf numFmtId="0" fontId="8"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xf>
    <xf numFmtId="0" fontId="5" fillId="0" borderId="0" xfId="0" applyFont="1"/>
    <xf numFmtId="3" fontId="0" fillId="0" borderId="0" xfId="0" applyNumberFormat="1" applyAlignment="1">
      <alignment horizontal="left" vertical="top" wrapText="1"/>
    </xf>
    <xf numFmtId="0" fontId="5" fillId="0" borderId="0" xfId="0" applyFont="1" applyAlignment="1">
      <alignment wrapText="1"/>
    </xf>
    <xf numFmtId="0" fontId="4" fillId="0" borderId="0" xfId="0" applyFont="1" applyAlignment="1">
      <alignment vertical="center"/>
    </xf>
    <xf numFmtId="0" fontId="10" fillId="0" borderId="0" xfId="0" applyFont="1" applyAlignment="1">
      <alignment horizontal="left" vertical="top"/>
    </xf>
    <xf numFmtId="0" fontId="12" fillId="0" borderId="0" xfId="0" applyFont="1" applyAlignment="1">
      <alignment horizontal="left" vertical="top"/>
    </xf>
    <xf numFmtId="0" fontId="9" fillId="0" borderId="0" xfId="0" applyFont="1" applyAlignment="1">
      <alignment horizontal="left" vertical="top" wrapText="1"/>
    </xf>
    <xf numFmtId="0" fontId="0" fillId="0" borderId="0" xfId="0" applyAlignment="1">
      <alignment vertical="top" wrapText="1"/>
    </xf>
    <xf numFmtId="0" fontId="2" fillId="5" borderId="0" xfId="0" applyFont="1" applyFill="1" applyAlignment="1">
      <alignment horizontal="left" vertical="top" wrapText="1"/>
    </xf>
    <xf numFmtId="0" fontId="13" fillId="0" borderId="0" xfId="0" applyFont="1" applyAlignment="1">
      <alignment vertical="center" wrapText="1"/>
    </xf>
    <xf numFmtId="0" fontId="13" fillId="0" borderId="0" xfId="0" applyFont="1" applyAlignment="1">
      <alignment horizontal="left" vertical="center" wrapText="1"/>
    </xf>
    <xf numFmtId="0" fontId="0" fillId="6" borderId="0" xfId="0" applyFill="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center"/>
    </xf>
    <xf numFmtId="0" fontId="15" fillId="0" borderId="0" xfId="0" applyFont="1" applyAlignment="1">
      <alignment horizontal="left" vertical="top" wrapText="1"/>
    </xf>
    <xf numFmtId="1" fontId="0" fillId="0" borderId="0" xfId="0" applyNumberFormat="1" applyAlignment="1">
      <alignment horizontal="left" vertical="top"/>
    </xf>
    <xf numFmtId="1" fontId="5" fillId="0" borderId="0" xfId="0" applyNumberFormat="1" applyFont="1" applyAlignment="1">
      <alignment horizontal="left" vertical="top"/>
    </xf>
    <xf numFmtId="1" fontId="8" fillId="0" borderId="0" xfId="0" applyNumberFormat="1" applyFont="1" applyAlignment="1">
      <alignment horizontal="left" vertical="top" wrapText="1"/>
    </xf>
    <xf numFmtId="1" fontId="8" fillId="0" borderId="0" xfId="0" applyNumberFormat="1" applyFont="1" applyAlignment="1">
      <alignment horizontal="left" vertical="top"/>
    </xf>
    <xf numFmtId="1" fontId="5" fillId="0" borderId="0" xfId="0" applyNumberFormat="1" applyFont="1" applyAlignment="1">
      <alignment horizontal="left" vertical="top" wrapText="1"/>
    </xf>
    <xf numFmtId="1" fontId="7" fillId="0" borderId="0" xfId="0" applyNumberFormat="1" applyFont="1" applyAlignment="1">
      <alignment horizontal="left" vertical="top"/>
    </xf>
    <xf numFmtId="1" fontId="3" fillId="0" borderId="0" xfId="0" applyNumberFormat="1" applyFont="1" applyAlignment="1">
      <alignment horizontal="left" vertical="top"/>
    </xf>
    <xf numFmtId="0" fontId="1" fillId="0" borderId="0" xfId="0" applyFont="1"/>
  </cellXfs>
  <cellStyles count="1">
    <cellStyle name="Normal" xfId="0" builtinId="0"/>
  </cellStyles>
  <dxfs count="27">
    <dxf>
      <alignment horizontal="left" vertical="top" textRotation="0" wrapText="0" indent="0" justifyLastLine="0" shrinkToFit="0" readingOrder="0"/>
    </dxf>
    <dxf>
      <numFmt numFmtId="3" formatCode="#,##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3" formatCode="#,##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485775</xdr:colOff>
      <xdr:row>0</xdr:row>
      <xdr:rowOff>161925</xdr:rowOff>
    </xdr:from>
    <xdr:to>
      <xdr:col>36</xdr:col>
      <xdr:colOff>465321</xdr:colOff>
      <xdr:row>58</xdr:row>
      <xdr:rowOff>55509</xdr:rowOff>
    </xdr:to>
    <xdr:pic>
      <xdr:nvPicPr>
        <xdr:cNvPr id="2" name="Picture 1">
          <a:extLst>
            <a:ext uri="{FF2B5EF4-FFF2-40B4-BE49-F238E27FC236}">
              <a16:creationId xmlns:a16="http://schemas.microsoft.com/office/drawing/2014/main" id="{4C6B1DE2-AD95-4801-A496-3F3122B3F09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596" t="14083" r="1013" b="11246"/>
        <a:stretch>
          <a:fillRect/>
        </a:stretch>
      </xdr:blipFill>
      <xdr:spPr bwMode="auto">
        <a:xfrm>
          <a:off x="10239375" y="161925"/>
          <a:ext cx="12171546" cy="10942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311150</xdr:colOff>
      <xdr:row>2</xdr:row>
      <xdr:rowOff>111125</xdr:rowOff>
    </xdr:from>
    <xdr:to>
      <xdr:col>30</xdr:col>
      <xdr:colOff>311150</xdr:colOff>
      <xdr:row>36</xdr:row>
      <xdr:rowOff>95063</xdr:rowOff>
    </xdr:to>
    <xdr:pic>
      <xdr:nvPicPr>
        <xdr:cNvPr id="3" name="Picture 2">
          <a:extLst>
            <a:ext uri="{FF2B5EF4-FFF2-40B4-BE49-F238E27FC236}">
              <a16:creationId xmlns:a16="http://schemas.microsoft.com/office/drawing/2014/main" id="{2095BB7E-CFD2-AFBB-2284-7AED05BDAF64}"/>
            </a:ext>
          </a:extLst>
        </xdr:cNvPr>
        <xdr:cNvPicPr>
          <a:picLocks noChangeAspect="1"/>
        </xdr:cNvPicPr>
      </xdr:nvPicPr>
      <xdr:blipFill>
        <a:blip xmlns:r="http://schemas.openxmlformats.org/officeDocument/2006/relationships" r:embed="rId2"/>
        <a:stretch>
          <a:fillRect/>
        </a:stretch>
      </xdr:blipFill>
      <xdr:spPr>
        <a:xfrm>
          <a:off x="6407150" y="473075"/>
          <a:ext cx="12192000" cy="613708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sther van Baaren" id="{370043A5-8BD3-4E9B-91CD-C7DEAA119115}" userId="S::Esther.vanBaaren@deltares.nl::e5ae2957-28e7-4d9d-a847-c7691742eaf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D8FF9-5D52-4C1A-AF6C-2F9236DE1C73}" name="Table1" displayName="Table1" ref="A2:Z64" totalsRowShown="0" headerRowDxfId="26" dataDxfId="25">
  <autoFilter ref="A2:Z64" xr:uid="{A04CDD2F-2F03-4855-9D9F-7C0400519C09}"/>
  <sortState xmlns:xlrd2="http://schemas.microsoft.com/office/spreadsheetml/2017/richdata2" ref="A3:Z64">
    <sortCondition ref="X2:X64"/>
  </sortState>
  <tableColumns count="26">
    <tableColumn id="1" xr3:uid="{7B7E007C-A484-4326-8B70-8A07804DFB01}" name="SVK" dataDxfId="24"/>
    <tableColumn id="2" xr3:uid="{4D5CA00A-DE91-4D91-911E-CB6B3AE0D546}" name="Code" dataDxfId="23"/>
    <tableColumn id="3" xr3:uid="{695444B2-819A-4C07-9A0D-8276FE6FF693}" name="link met andere code (indien relevent)" dataDxfId="22"/>
    <tableColumn id="4" xr3:uid="{16574D2E-3F35-4500-9188-1F7E6B814081}" name="kennisvraag nummer" dataDxfId="21"/>
    <tableColumn id="5" xr3:uid="{2753C089-2109-40AD-AFEA-95EE1B566901}" name="keywords kennisvraag" dataDxfId="20"/>
    <tableColumn id="6" xr3:uid="{30573803-FE9E-460A-97CB-30F4DF84116E}" name="Kennisvraag" dataDxfId="19"/>
    <tableColumn id="21" xr3:uid="{801455B7-EB94-4F6B-B2B1-DD868C49324A}" name="Toelichting kennisvraag"/>
    <tableColumn id="7" xr3:uid="{FB0AC6D3-2BDA-47E6-AFE9-6BD0D7194760}" name="Prioriteit: Functie waterveiligheid (uitgedrukt in Failure probability)" dataDxfId="18"/>
    <tableColumn id="8" xr3:uid="{BC1BB0ED-8401-4291-BCE6-ED00D6489A4C}" name="Prioriteit: Functies (anders dan waterveiligheid)" dataDxfId="17"/>
    <tableColumn id="9" xr3:uid="{8859236D-CC01-4FAC-B8D7-F9771AD4EA09}" name="Prioriteit: BenO (budget, planning en uitvoering) " dataDxfId="16"/>
    <tableColumn id="10" xr3:uid="{EBACA2C8-5FE9-4049-A3C0-0313B053B53C}" name="Prioriteit: Operatie (OT)" dataDxfId="15"/>
    <tableColumn id="22" xr3:uid="{77819C17-ADE1-4DF6-830C-777D9EECDB96}" name="Urgency: Decision-making" dataDxfId="14"/>
    <tableColumn id="20" xr3:uid="{537C97A0-5E76-4833-B73D-3CB78A92DDB2}" name="toelichting prioriteit / outcome" dataDxfId="13"/>
    <tableColumn id="25" xr3:uid="{953A713A-86A0-4AE4-BFC6-0193480BC1BF}" name="Outcome category number" dataDxfId="12"/>
    <tableColumn id="26" xr3:uid="{A37334A6-A636-4C29-B600-6D1233FC81F7}" name="Outcome category " dataDxfId="11"/>
    <tableColumn id="23" xr3:uid="{12619668-1A71-4C57-8F6A-A53797326556}" name="impact category number" dataDxfId="10"/>
    <tableColumn id="24" xr3:uid="{4F8032F8-A4AF-4FE5-A151-C5114FBE8A7B}" name="impact category" dataDxfId="9"/>
    <tableColumn id="11" xr3:uid="{3ACACCCD-3290-4A74-BF70-AEBAF02D8E4F}" name="Tijd " dataDxfId="8"/>
    <tableColumn id="14" xr3:uid="{96987744-323E-4E2B-8AC3-CB41D7745F4C}" name="toelichting tijd / wanneer antwoord nodig" dataDxfId="7"/>
    <tableColumn id="12" xr3:uid="{B47BF79E-ABC4-45C7-B7B6-82A82206FED5}" name="Onderzoekslijn eerste keus" dataDxfId="6"/>
    <tableColumn id="13" xr3:uid="{BD8B1A75-6318-42C9-9227-0A7A1A9917AE}" name="Onderzoekslijn tweede keus (indien nodig)" dataDxfId="5"/>
    <tableColumn id="15" xr3:uid="{1137071A-104A-4C6C-912B-E7F9E79E16FB}" name="toelichting onderzoekslijn" dataDxfId="4"/>
    <tableColumn id="16" xr3:uid="{EAA3D896-549D-499A-BB60-673C97ED5663}" name="status" dataDxfId="3"/>
    <tableColumn id="17" xr3:uid="{E99AA647-ADF5-4DAB-8F9E-0A750A517FD7}" name="Waar belegd" dataDxfId="2"/>
    <tableColumn id="18" xr3:uid="{25537A0F-9C31-44A9-9E6B-BA38DEB1EA60}" name="kosten [euro]" dataDxfId="1"/>
    <tableColumn id="19" xr3:uid="{482DCA94-A9DC-4924-9E4E-640269C73666}" name="doorlooptijd [jar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T3" dT="2026-02-12T19:41:49.69" personId="{370043A5-8BD3-4E9B-91CD-C7DEAA119115}" id="{0B00617B-8A8C-4509-AB43-BFE4E26D7DA3}">
    <text>Kennismanagement en boring over generaties heen</text>
  </threadedComment>
  <threadedComment ref="R8" dT="2026-02-12T18:53:13.69" personId="{370043A5-8BD3-4E9B-91CD-C7DEAA119115}" id="{A152B6BD-D89B-4301-B26E-CBE86ECA7F12}">
    <text>Zouden de vragen 1, 2 en 3 ook timeframe 2 kunnen hebben? Dus besluitvorming over de boeggolf projecten? Of gaat dit over grotere besluiten die later komen?</text>
  </threadedComment>
  <threadedComment ref="F14" dT="2026-02-12T18:54:05.59" personId="{370043A5-8BD3-4E9B-91CD-C7DEAA119115}" id="{9DC46815-39E5-4A68-8329-5E96C11443E2}" done="1">
    <text>These = decisions for the SSBs? Interdependencies between decisions for the SSB and for the system?</text>
  </threadedComment>
  <threadedComment ref="T15" dT="2026-02-12T18:56:29.36" personId="{370043A5-8BD3-4E9B-91CD-C7DEAA119115}" id="{6E1BDD64-D3C4-4808-B389-0559E930CB2E}" done="1">
    <text>Zou deze ook aan kunnen sluiten bij 9. organisatorische aspecten en dan informatiemanagement? Dit lijkt ook te gaan over complexe informatie begrijpelijk maken voor diverse doelgroepen binnen IenW (en breder) en daarmee ook kennismanagement binnen 9.? Of zou dat dan de 3e onderzoekslijn zijn?</text>
  </threadedComment>
  <threadedComment ref="T20" dT="2026-02-12T19:06:41.63" personId="{370043A5-8BD3-4E9B-91CD-C7DEAA119115}" id="{1DAE2514-F84B-4FD9-97F4-DE16AA6626BA}">
    <text xml:space="preserve">Ik weet niet of structural failure onder faalkans of onder constructieve aspecten valt primair. Dat geldt ook voor de vragen 18, 19. Ik zou zelf ook constructief kiezen. Maar laten we deze ook even bij Marit toetsen. </text>
  </threadedComment>
  <threadedComment ref="T26" dT="2026-02-12T19:14:13.06" personId="{370043A5-8BD3-4E9B-91CD-C7DEAA119115}" id="{BE84A403-8730-48E1-9660-8DA76D15E821}">
    <text>De vraag is er breed, zullen we hier om toelichting vragen? Gaat dit vooral om monitoring? Van wat?</text>
  </threadedComment>
  <threadedComment ref="T27" dT="2026-02-12T19:15:48.95" personId="{370043A5-8BD3-4E9B-91CD-C7DEAA119115}" id="{CD1EAC3F-9F9A-43E0-A12A-4563CEA1E582}" done="1">
    <text xml:space="preserve">Ik zou hier 4. maintenance and operation (wanneer wat op tijd vervangen) en daarnaast 10. remaining lifetime (tipping points) kiezen denk ik. </text>
  </threadedComment>
  <threadedComment ref="T34" dT="2026-02-12T19:26:58.39" personId="{370043A5-8BD3-4E9B-91CD-C7DEAA119115}" id="{C2D81B23-1DE3-461B-9B34-D2FE4F30FFCB}" done="1">
    <text>Of 7. faalkans?</text>
  </threadedComment>
  <threadedComment ref="F35" dT="2026-02-12T19:07:51.79" personId="{370043A5-8BD3-4E9B-91CD-C7DEAA119115}" id="{140BDC84-868B-4085-9F6E-CFA5B100978C}">
    <text>Probability = structural failure probability?</text>
  </threadedComment>
  <threadedComment ref="X35" dT="2026-02-12T19:17:29.01" personId="{370043A5-8BD3-4E9B-91CD-C7DEAA119115}" id="{A9301480-85D0-46F0-9178-BE33D6032863}">
    <text>Bespreken met WP3: dan weglaten uit impact pathway?</text>
  </threadedComment>
  <threadedComment ref="F36" dT="2026-02-12T19:40:29.38" personId="{370043A5-8BD3-4E9B-91CD-C7DEAA119115}" id="{96D052EA-8483-4EA0-8055-D3E7D3E3CF30}">
    <text xml:space="preserve">Wat heeft dit met keuzes voor de SSB te maken? </text>
  </threadedComment>
  <threadedComment ref="T38" dT="2026-02-12T19:37:39.21" personId="{370043A5-8BD3-4E9B-91CD-C7DEAA119115}" id="{6E105D72-EF86-4BE3-B537-13E6DFC96622}">
    <text xml:space="preserve">Ook voor bespreken met RWS: adaptatie en systeem/barrier afwegingen tijdens de levensduur, waar nemen we die op? Onder levensduur (functionele prestatie) of onder adapatatie systeemniveau (maar wel tijdens de levensduur)? Geldt ook voor de volgende vragen. </text>
  </threadedComment>
  <threadedComment ref="U40" dT="2026-02-12T19:32:13.41" personId="{370043A5-8BD3-4E9B-91CD-C7DEAA119115}" id="{0B96FE43-FF4F-44CD-BABC-667065699A07}">
    <text>Ik heb 8. toegevoegd. Dit lijkt ook te gaan over culturele / maatschappelijke haalbaarheid van beslissingen?</text>
  </threadedComment>
  <threadedComment ref="U41" dT="2026-02-12T19:29:00.05" personId="{370043A5-8BD3-4E9B-91CD-C7DEAA119115}" id="{23DA1953-E6D1-4519-8A62-A7B517AB9561}">
    <text xml:space="preserve">Ik heb deze toegevoegd, of bedoelen ze niet ook corrosie? Dan deze weghalen. </text>
  </threadedComment>
  <threadedComment ref="X41" dT="2026-02-12T19:30:49.36" personId="{370043A5-8BD3-4E9B-91CD-C7DEAA119115}" id="{DD550850-5FA3-4737-A929-137978832A39}">
    <text>Bespreken met wie dit heeft opgeschreven: weglaten uit impact pathway (mag best blijven staan in het hoofdstuk)?</text>
  </threadedComment>
  <threadedComment ref="F44" dT="2026-02-12T19:30:21.67" personId="{370043A5-8BD3-4E9B-91CD-C7DEAA119115}" id="{7AC5D53A-94CD-4110-9905-4E0BE0A7429C}">
    <text>Ik snap deze vraag niet voldoende. Gaat het om invloed van dredging op de werking van de kering? Wat is de rol van de kering in de vraag?</text>
  </threadedComment>
  <threadedComment ref="U46" dT="2026-02-12T19:27:40.82" personId="{370043A5-8BD3-4E9B-91CD-C7DEAA119115}" id="{9E1A187F-9A57-4A6B-9069-723E59682B78}">
    <text>Hoe?</text>
  </threadedComment>
  <threadedComment ref="T47" dT="2026-02-12T19:33:33.15" personId="{370043A5-8BD3-4E9B-91CD-C7DEAA119115}" id="{4AC29281-8438-4732-B113-AB6EABBA1607}">
    <text>Check bij Marit: waar nemen we aanpassing van sluitcriteria en sluitregime in mee? Dit is ook effect van de kering op de omgeving, en daarmee levensduur (functionele prestatie)?</text>
  </threadedComment>
  <threadedComment ref="X48" dT="2026-02-12T19:28:13.92" personId="{370043A5-8BD3-4E9B-91CD-C7DEAA119115}" id="{9C5D9F69-2BFD-46C7-B185-4002AD4467CD}">
    <text xml:space="preserve">Ja, ik dacht ook direct aan WP2 bij deze vraag. </text>
  </threadedComment>
  <threadedComment ref="F50" dT="2026-02-12T19:16:22.72" personId="{370043A5-8BD3-4E9B-91CD-C7DEAA119115}" id="{AC39E438-FC1B-4EF7-9270-3B42892802E3}">
    <text>Boundary conditions van wat?</text>
  </threadedComment>
  <threadedComment ref="T53" dT="2026-02-12T19:41:09.38" personId="{370043A5-8BD3-4E9B-91CD-C7DEAA119115}" id="{546E488C-FB54-475E-B2F0-F9E7DA35759C}">
    <text>Levensduur kiezen?  Dit is echt functionele prestatie</text>
  </threadedComment>
  <threadedComment ref="U61" dT="2026-02-12T19:18:54.04" personId="{370043A5-8BD3-4E9B-91CD-C7DEAA119115}" id="{C094E1DA-9EDE-4CB6-8A11-AD3D8619CF31}" done="1">
    <text>8 ook toevoegen? Het zou ook nog bij 9 organisatorische aspecten (informatiemanagement, samenwerking met stakeholders) kunnen passen?</text>
  </threadedComment>
  <threadedComment ref="T62" dT="2026-02-12T19:21:01.73" personId="{370043A5-8BD3-4E9B-91CD-C7DEAA119115}" id="{AF8AAE99-1089-4C56-A887-970EF77E65B6}" done="1">
    <text>Kan dit ook 8 systeemniveau zijn, dus ook alternatieven van een SSB?</text>
  </threadedComment>
  <threadedComment ref="T63" dT="2026-02-12T19:23:28.40" personId="{370043A5-8BD3-4E9B-91CD-C7DEAA119115}" id="{FC1BE57E-0702-49A4-A0F2-ED368221612C}" done="1">
    <text>Ik denk dat ik niet voldoende  begrijp van dit onderzoek om een categorie toe te kunnen voegen. Kan trust in bv RWS leiden tot een verandering van de levensduur?? Ik kan me voorstellen dat cultuur en vertrouwen invloed kan hebben op grote beslissingen over het systeem (bv middels stemmen op een politieke partij), dan 8. Ik kan me ook voorstellen dat RWS haar naam hoog wil houden, dan is het misschien 9? Misschien kunnen we de onderzoeker vragen om ons hierbij te helpen? Of heb jij wel een beter beeld van dit onderzoek?</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DDAB-9767-41F7-8824-A78ED8C137BD}">
  <dimension ref="A1:AI78"/>
  <sheetViews>
    <sheetView tabSelected="1" topLeftCell="F1" zoomScale="70" zoomScaleNormal="70" workbookViewId="0">
      <pane ySplit="2" topLeftCell="A31" activePane="bottomLeft" state="frozen"/>
      <selection pane="bottomLeft" activeCell="P9" sqref="P9"/>
    </sheetView>
  </sheetViews>
  <sheetFormatPr defaultColWidth="8.85546875" defaultRowHeight="15" x14ac:dyDescent="0.25"/>
  <cols>
    <col min="1" max="1" width="17.42578125" style="6" customWidth="1"/>
    <col min="2" max="2" width="10.140625" style="6" customWidth="1"/>
    <col min="3" max="3" width="13.140625" style="6" customWidth="1"/>
    <col min="4" max="4" width="8.7109375" style="6" customWidth="1"/>
    <col min="5" max="5" width="12" style="6" customWidth="1"/>
    <col min="6" max="6" width="75.5703125" style="1" customWidth="1"/>
    <col min="7" max="7" width="27.85546875" style="6" customWidth="1"/>
    <col min="8" max="8" width="10.85546875" style="6" customWidth="1"/>
    <col min="9" max="9" width="11.140625" style="6" customWidth="1"/>
    <col min="10" max="10" width="11.7109375" style="6" customWidth="1"/>
    <col min="11" max="12" width="11" style="6" customWidth="1"/>
    <col min="13" max="13" width="20.42578125" customWidth="1"/>
    <col min="15" max="17" width="22" style="1" customWidth="1"/>
    <col min="18" max="18" width="35" bestFit="1" customWidth="1"/>
    <col min="19" max="19" width="7.85546875" style="6" customWidth="1"/>
    <col min="20" max="20" width="35.28515625" customWidth="1"/>
    <col min="21" max="21" width="12.42578125" style="6" customWidth="1"/>
    <col min="23" max="23" width="53.5703125" style="6" customWidth="1"/>
    <col min="28" max="28" width="14.5703125" style="6" customWidth="1"/>
    <col min="29" max="29" width="9.5703125" style="6" customWidth="1"/>
    <col min="30" max="30" width="14.42578125" style="6" customWidth="1"/>
    <col min="31" max="31" width="16.5703125" style="6" customWidth="1"/>
    <col min="32" max="32" width="18.42578125" style="6" customWidth="1"/>
    <col min="33" max="33" width="19.42578125" style="6" customWidth="1"/>
    <col min="34" max="34" width="27.5703125" style="6" customWidth="1"/>
    <col min="35" max="38" width="37" style="6" customWidth="1"/>
    <col min="39" max="39" width="8.85546875" style="6"/>
    <col min="40" max="40" width="42.42578125" style="6" customWidth="1"/>
    <col min="41" max="41" width="42.85546875" style="6" customWidth="1"/>
    <col min="42" max="42" width="10.85546875" style="6" bestFit="1" customWidth="1"/>
    <col min="43" max="16384" width="8.85546875" style="6"/>
  </cols>
  <sheetData>
    <row r="1" spans="1:35" ht="114.95" customHeight="1" x14ac:dyDescent="0.25">
      <c r="A1" s="1" t="s">
        <v>98</v>
      </c>
      <c r="B1" s="1" t="s">
        <v>0</v>
      </c>
      <c r="C1" s="1"/>
      <c r="D1" s="32" t="s">
        <v>1</v>
      </c>
      <c r="E1" s="1"/>
      <c r="F1" s="1" t="s">
        <v>2</v>
      </c>
      <c r="G1" s="1"/>
      <c r="H1" s="3" t="s">
        <v>99</v>
      </c>
      <c r="I1" s="3" t="s">
        <v>3</v>
      </c>
      <c r="J1" s="3" t="s">
        <v>4</v>
      </c>
      <c r="K1" s="1" t="s">
        <v>5</v>
      </c>
      <c r="L1" s="1" t="s">
        <v>156</v>
      </c>
      <c r="M1" s="5" t="s">
        <v>122</v>
      </c>
      <c r="N1" s="5"/>
      <c r="O1" s="5"/>
      <c r="P1" s="5"/>
      <c r="Q1" s="5"/>
      <c r="R1" s="27" t="s">
        <v>6</v>
      </c>
      <c r="S1" s="32"/>
      <c r="T1" s="1" t="s">
        <v>7</v>
      </c>
      <c r="U1" s="1" t="s">
        <v>8</v>
      </c>
      <c r="V1" s="32" t="s">
        <v>9</v>
      </c>
      <c r="W1" s="2" t="s">
        <v>10</v>
      </c>
      <c r="X1" s="2" t="s">
        <v>100</v>
      </c>
      <c r="Y1" s="32" t="s">
        <v>11</v>
      </c>
      <c r="Z1" s="32" t="s">
        <v>12</v>
      </c>
      <c r="AA1" s="1" t="s">
        <v>13</v>
      </c>
      <c r="AB1" s="4" t="s">
        <v>14</v>
      </c>
      <c r="AC1" s="1" t="s">
        <v>15</v>
      </c>
      <c r="AD1" s="5" t="s">
        <v>16</v>
      </c>
      <c r="AG1" s="1"/>
    </row>
    <row r="2" spans="1:35" ht="42.95" customHeight="1" x14ac:dyDescent="0.25">
      <c r="A2" s="7" t="s">
        <v>17</v>
      </c>
      <c r="B2" s="7" t="s">
        <v>18</v>
      </c>
      <c r="C2" s="8" t="s">
        <v>19</v>
      </c>
      <c r="D2" s="31" t="s">
        <v>20</v>
      </c>
      <c r="E2" s="8" t="s">
        <v>21</v>
      </c>
      <c r="F2" s="8" t="s">
        <v>22</v>
      </c>
      <c r="G2" s="7" t="s">
        <v>23</v>
      </c>
      <c r="H2" s="9" t="s">
        <v>107</v>
      </c>
      <c r="I2" s="9" t="s">
        <v>24</v>
      </c>
      <c r="J2" s="9" t="s">
        <v>25</v>
      </c>
      <c r="K2" s="9" t="s">
        <v>26</v>
      </c>
      <c r="L2" s="9" t="s">
        <v>157</v>
      </c>
      <c r="M2" s="28" t="s">
        <v>101</v>
      </c>
      <c r="N2" s="28" t="s">
        <v>230</v>
      </c>
      <c r="O2" s="28" t="s">
        <v>231</v>
      </c>
      <c r="P2" s="28" t="s">
        <v>225</v>
      </c>
      <c r="Q2" s="28" t="s">
        <v>90</v>
      </c>
      <c r="R2" s="9" t="s">
        <v>27</v>
      </c>
      <c r="S2" s="31" t="s">
        <v>30</v>
      </c>
      <c r="T2" s="9" t="s">
        <v>28</v>
      </c>
      <c r="U2" s="9" t="s">
        <v>29</v>
      </c>
      <c r="V2" s="31" t="s">
        <v>31</v>
      </c>
      <c r="W2" s="9" t="s">
        <v>32</v>
      </c>
      <c r="X2" s="9" t="s">
        <v>33</v>
      </c>
      <c r="Y2" s="31" t="s">
        <v>34</v>
      </c>
      <c r="Z2" s="31" t="s">
        <v>35</v>
      </c>
      <c r="AA2" s="31" t="s">
        <v>36</v>
      </c>
      <c r="AB2" s="31" t="s">
        <v>37</v>
      </c>
      <c r="AC2" s="31" t="s">
        <v>38</v>
      </c>
      <c r="AD2" s="31" t="s">
        <v>39</v>
      </c>
    </row>
    <row r="3" spans="1:35" ht="21.95" customHeight="1" x14ac:dyDescent="0.25">
      <c r="A3" s="6" t="s">
        <v>55</v>
      </c>
      <c r="B3" s="6" t="s">
        <v>147</v>
      </c>
      <c r="F3" s="17" t="s">
        <v>149</v>
      </c>
      <c r="M3" s="1"/>
      <c r="N3" s="1"/>
      <c r="P3" s="1">
        <v>4</v>
      </c>
      <c r="Q3" s="1" t="str">
        <f>VLOOKUP(Table1[[#This Row],[impact category number]],'Impact categories'!B$3:C$8,2)</f>
        <v>Human capital for a safe and liveable delta</v>
      </c>
      <c r="R3" s="6">
        <v>3</v>
      </c>
      <c r="S3" s="11"/>
      <c r="T3" s="6" t="s">
        <v>102</v>
      </c>
      <c r="V3" s="6"/>
      <c r="X3" s="6">
        <v>1</v>
      </c>
      <c r="Y3" s="11"/>
      <c r="Z3" s="6"/>
      <c r="AA3" s="1"/>
      <c r="AB3" s="1"/>
      <c r="AC3" s="1"/>
      <c r="AD3" s="1"/>
    </row>
    <row r="4" spans="1:35" ht="18.600000000000001" customHeight="1" x14ac:dyDescent="0.25">
      <c r="A4" s="6" t="s">
        <v>55</v>
      </c>
      <c r="B4" s="6" t="s">
        <v>148</v>
      </c>
      <c r="F4" s="17" t="s">
        <v>150</v>
      </c>
      <c r="M4" s="1"/>
      <c r="N4" s="1"/>
      <c r="P4" s="1">
        <v>5</v>
      </c>
      <c r="Q4" s="1" t="str">
        <f>VLOOKUP(Table1[[#This Row],[impact category number]],'Impact categories'!B$3:C$8,2)</f>
        <v>The Dutch Delta is an example how to deal with climate change in low-lying delta countries and the Dutch water sector remains a frontrunner</v>
      </c>
      <c r="R4" s="6">
        <v>3</v>
      </c>
      <c r="S4" s="11"/>
      <c r="T4" s="6" t="s">
        <v>102</v>
      </c>
      <c r="V4" s="6"/>
      <c r="X4" s="6">
        <v>1</v>
      </c>
      <c r="Y4" s="11"/>
      <c r="Z4" s="6"/>
      <c r="AA4" s="1"/>
      <c r="AB4" s="1"/>
      <c r="AC4" s="1"/>
      <c r="AD4" s="1"/>
    </row>
    <row r="5" spans="1:35" ht="21.95" customHeight="1" x14ac:dyDescent="0.25">
      <c r="A5" s="6" t="s">
        <v>54</v>
      </c>
      <c r="B5" s="6" t="s">
        <v>137</v>
      </c>
      <c r="F5" s="10" t="s">
        <v>51</v>
      </c>
      <c r="H5" s="35">
        <v>2.5</v>
      </c>
      <c r="I5" s="35">
        <v>0.4</v>
      </c>
      <c r="J5" s="35">
        <v>1.7</v>
      </c>
      <c r="K5" s="35">
        <v>1.7</v>
      </c>
      <c r="L5" s="35">
        <v>1.1000000000000001</v>
      </c>
      <c r="M5" s="6"/>
      <c r="N5" s="6"/>
      <c r="O5" s="6"/>
      <c r="P5" s="1">
        <v>2</v>
      </c>
      <c r="Q5" s="1" t="str">
        <f>VLOOKUP(Table1[[#This Row],[impact category number]],'Impact categories'!B$3:C$8,2)</f>
        <v>Reliable SSBs in technically good condition</v>
      </c>
      <c r="R5" s="6">
        <v>3</v>
      </c>
      <c r="S5" s="11"/>
      <c r="T5" s="6" t="s">
        <v>133</v>
      </c>
      <c r="V5" s="6"/>
      <c r="X5" s="6">
        <v>3</v>
      </c>
      <c r="Y5" s="11"/>
      <c r="Z5" s="6"/>
      <c r="AA5" s="1"/>
      <c r="AB5" s="1"/>
      <c r="AC5" s="1"/>
      <c r="AD5" s="1"/>
    </row>
    <row r="6" spans="1:35" ht="47.1" customHeight="1" x14ac:dyDescent="0.25">
      <c r="A6" s="6" t="s">
        <v>55</v>
      </c>
      <c r="B6" s="6" t="s">
        <v>138</v>
      </c>
      <c r="F6" s="10" t="s">
        <v>52</v>
      </c>
      <c r="G6" s="10"/>
      <c r="H6" s="36">
        <v>2.4</v>
      </c>
      <c r="I6" s="35">
        <v>0.2</v>
      </c>
      <c r="J6" s="36">
        <v>2</v>
      </c>
      <c r="K6" s="36">
        <v>1.6</v>
      </c>
      <c r="L6" s="36">
        <v>1.2</v>
      </c>
      <c r="M6" s="6"/>
      <c r="N6" s="6"/>
      <c r="O6" s="6"/>
      <c r="P6" s="1">
        <v>2</v>
      </c>
      <c r="Q6" s="1" t="str">
        <f>VLOOKUP(Table1[[#This Row],[impact category number]],'Impact categories'!B$3:C$8,2)</f>
        <v>Reliable SSBs in technically good condition</v>
      </c>
      <c r="R6" s="6">
        <v>3</v>
      </c>
      <c r="S6" s="15"/>
      <c r="T6" s="6" t="s">
        <v>106</v>
      </c>
      <c r="U6" s="6" t="s">
        <v>133</v>
      </c>
      <c r="V6" s="6"/>
      <c r="X6" s="6">
        <v>3</v>
      </c>
      <c r="Y6" s="11"/>
      <c r="Z6" s="6"/>
      <c r="AA6" s="1"/>
      <c r="AB6" s="1"/>
      <c r="AC6" s="1"/>
      <c r="AD6" s="1"/>
    </row>
    <row r="7" spans="1:35" ht="78" customHeight="1" x14ac:dyDescent="0.25">
      <c r="A7" s="6" t="s">
        <v>55</v>
      </c>
      <c r="B7" s="6" t="s">
        <v>139</v>
      </c>
      <c r="F7" s="10" t="s">
        <v>53</v>
      </c>
      <c r="G7" s="10"/>
      <c r="H7" s="36">
        <v>2.4</v>
      </c>
      <c r="I7" s="35">
        <v>0.3</v>
      </c>
      <c r="J7" s="36">
        <v>1.8</v>
      </c>
      <c r="K7" s="36">
        <v>1.3</v>
      </c>
      <c r="L7" s="36">
        <v>1.5</v>
      </c>
      <c r="M7" s="6"/>
      <c r="N7" s="6"/>
      <c r="O7" s="6"/>
      <c r="P7" s="1">
        <v>2</v>
      </c>
      <c r="Q7" s="1" t="str">
        <f>VLOOKUP(Table1[[#This Row],[impact category number]],'Impact categories'!B$3:C$8,2)</f>
        <v>Reliable SSBs in technically good condition</v>
      </c>
      <c r="R7" s="6">
        <v>3</v>
      </c>
      <c r="S7" s="16"/>
      <c r="T7" s="6" t="s">
        <v>106</v>
      </c>
      <c r="U7" s="6" t="s">
        <v>133</v>
      </c>
      <c r="V7" s="6"/>
      <c r="X7" s="6">
        <v>3</v>
      </c>
      <c r="Y7" s="11"/>
      <c r="Z7" s="6"/>
      <c r="AA7" s="1"/>
      <c r="AB7" s="1"/>
      <c r="AC7" s="1"/>
      <c r="AD7" s="1"/>
    </row>
    <row r="8" spans="1:35" ht="45.6" customHeight="1" x14ac:dyDescent="0.25">
      <c r="A8" s="6" t="s">
        <v>55</v>
      </c>
      <c r="B8" s="6" t="s">
        <v>205</v>
      </c>
      <c r="C8" s="1"/>
      <c r="F8" s="1" t="s">
        <v>196</v>
      </c>
      <c r="G8" s="1"/>
      <c r="H8" s="35">
        <v>1.2222222222222223</v>
      </c>
      <c r="I8" s="35">
        <v>1.2222222222222223</v>
      </c>
      <c r="J8" s="35">
        <v>2</v>
      </c>
      <c r="K8" s="35">
        <v>1.3333333333333333</v>
      </c>
      <c r="L8" s="35">
        <v>2.2222222222222223</v>
      </c>
      <c r="M8" s="6"/>
      <c r="N8" s="6"/>
      <c r="O8" s="6"/>
      <c r="P8" s="1">
        <v>3</v>
      </c>
      <c r="Q8" s="1" t="str">
        <f>VLOOKUP(Table1[[#This Row],[impact category number]],'Impact categories'!B$3:C$8,2)</f>
        <v>Well-balanced maintenance and end-of-life decisions for the SSBs by including the system, technical and economical perspective.</v>
      </c>
      <c r="R8" s="6">
        <v>3</v>
      </c>
      <c r="S8" s="10"/>
      <c r="T8" s="6" t="s">
        <v>102</v>
      </c>
      <c r="V8" s="6"/>
      <c r="X8" s="6" t="s">
        <v>40</v>
      </c>
      <c r="Y8" s="11"/>
      <c r="Z8" s="6"/>
      <c r="AA8" s="6"/>
    </row>
    <row r="9" spans="1:35" ht="54.6" customHeight="1" x14ac:dyDescent="0.25">
      <c r="A9" s="6" t="s">
        <v>55</v>
      </c>
      <c r="B9" s="6" t="s">
        <v>206</v>
      </c>
      <c r="F9" s="10" t="s">
        <v>197</v>
      </c>
      <c r="G9" s="10"/>
      <c r="H9" s="35">
        <v>1.1111111111111112</v>
      </c>
      <c r="I9" s="35">
        <v>1.3333333333333333</v>
      </c>
      <c r="J9" s="35">
        <v>1.6666666666666667</v>
      </c>
      <c r="K9" s="35">
        <v>1.2222222222222223</v>
      </c>
      <c r="L9" s="35">
        <v>2.4444444444444446</v>
      </c>
      <c r="M9" s="6"/>
      <c r="N9" s="6"/>
      <c r="O9" s="6"/>
      <c r="P9" s="1">
        <v>3</v>
      </c>
      <c r="Q9" s="1" t="str">
        <f>VLOOKUP(Table1[[#This Row],[impact category number]],'Impact categories'!B$3:C$8,2)</f>
        <v>Well-balanced maintenance and end-of-life decisions for the SSBs by including the system, technical and economical perspective.</v>
      </c>
      <c r="R9" s="6">
        <v>3</v>
      </c>
      <c r="S9" s="11"/>
      <c r="T9" s="6" t="s">
        <v>102</v>
      </c>
      <c r="V9" s="6"/>
      <c r="X9" s="6" t="s">
        <v>40</v>
      </c>
      <c r="Y9" s="11"/>
      <c r="Z9" s="6"/>
      <c r="AA9" s="1"/>
      <c r="AB9" s="1"/>
    </row>
    <row r="10" spans="1:35" ht="105" x14ac:dyDescent="0.25">
      <c r="A10" s="6" t="s">
        <v>55</v>
      </c>
      <c r="B10" s="6" t="s">
        <v>207</v>
      </c>
      <c r="F10" s="1" t="s">
        <v>198</v>
      </c>
      <c r="G10" s="1"/>
      <c r="H10" s="35">
        <v>1</v>
      </c>
      <c r="I10" s="35">
        <v>1.2222222222222223</v>
      </c>
      <c r="J10" s="35">
        <v>1.8888888888888888</v>
      </c>
      <c r="K10" s="35">
        <v>1.2222222222222223</v>
      </c>
      <c r="L10" s="35">
        <v>2.3333333333333335</v>
      </c>
      <c r="M10" s="6"/>
      <c r="N10" s="6"/>
      <c r="O10" s="6"/>
      <c r="P10" s="1">
        <v>3</v>
      </c>
      <c r="Q10" s="1" t="str">
        <f>VLOOKUP(Table1[[#This Row],[impact category number]],'Impact categories'!B$3:C$8,2)</f>
        <v>Well-balanced maintenance and end-of-life decisions for the SSBs by including the system, technical and economical perspective.</v>
      </c>
      <c r="R10" s="12">
        <v>3</v>
      </c>
      <c r="S10" s="13"/>
      <c r="T10" s="6" t="s">
        <v>102</v>
      </c>
      <c r="V10" s="6"/>
      <c r="X10" s="6" t="s">
        <v>40</v>
      </c>
      <c r="Y10" s="11"/>
      <c r="Z10" s="6"/>
      <c r="AA10" s="6"/>
      <c r="AI10" s="5" t="s">
        <v>110</v>
      </c>
    </row>
    <row r="11" spans="1:35" ht="105" x14ac:dyDescent="0.25">
      <c r="A11" s="6" t="s">
        <v>55</v>
      </c>
      <c r="B11" s="6" t="s">
        <v>208</v>
      </c>
      <c r="F11" s="15" t="s">
        <v>199</v>
      </c>
      <c r="G11" s="15"/>
      <c r="H11" s="36">
        <v>2.1111111111111112</v>
      </c>
      <c r="I11" s="35">
        <v>2.3333333333333335</v>
      </c>
      <c r="J11" s="36">
        <v>1.4444444444444444</v>
      </c>
      <c r="K11" s="36">
        <v>1.375</v>
      </c>
      <c r="L11" s="36">
        <v>2.6666666666666665</v>
      </c>
      <c r="M11" s="6"/>
      <c r="N11" s="6"/>
      <c r="O11" s="6"/>
      <c r="P11" s="1">
        <v>3</v>
      </c>
      <c r="Q11" s="1" t="str">
        <f>VLOOKUP(Table1[[#This Row],[impact category number]],'Impact categories'!B$3:C$8,2)</f>
        <v>Well-balanced maintenance and end-of-life decisions for the SSBs by including the system, technical and economical perspective.</v>
      </c>
      <c r="R11" s="6">
        <v>3</v>
      </c>
      <c r="S11" s="11"/>
      <c r="T11" s="6" t="s">
        <v>131</v>
      </c>
      <c r="U11" s="6" t="s">
        <v>132</v>
      </c>
      <c r="V11" s="6"/>
      <c r="X11" s="6" t="s">
        <v>41</v>
      </c>
      <c r="Y11" s="11"/>
      <c r="Z11" s="6"/>
      <c r="AA11" s="6"/>
    </row>
    <row r="12" spans="1:35" ht="105" x14ac:dyDescent="0.25">
      <c r="A12" s="6" t="s">
        <v>55</v>
      </c>
      <c r="B12" s="6" t="s">
        <v>208</v>
      </c>
      <c r="F12" s="10" t="s">
        <v>200</v>
      </c>
      <c r="G12" s="10"/>
      <c r="H12" s="37">
        <v>2.2222222222222223</v>
      </c>
      <c r="I12" s="35">
        <v>2.2222222222222223</v>
      </c>
      <c r="J12" s="37">
        <v>1.3333333333333333</v>
      </c>
      <c r="K12" s="37">
        <v>1.5555555555555556</v>
      </c>
      <c r="L12" s="37">
        <v>2.4444444444444446</v>
      </c>
      <c r="M12" s="6"/>
      <c r="N12" s="6"/>
      <c r="O12" s="6"/>
      <c r="P12" s="1">
        <v>3</v>
      </c>
      <c r="Q12" s="1" t="str">
        <f>VLOOKUP(Table1[[#This Row],[impact category number]],'Impact categories'!B$3:C$8,2)</f>
        <v>Well-balanced maintenance and end-of-life decisions for the SSBs by including the system, technical and economical perspective.</v>
      </c>
      <c r="R12" s="6">
        <v>3</v>
      </c>
      <c r="S12" s="11"/>
      <c r="T12" s="6" t="s">
        <v>131</v>
      </c>
      <c r="U12" s="6" t="s">
        <v>132</v>
      </c>
      <c r="V12" s="6"/>
      <c r="X12" s="6" t="s">
        <v>41</v>
      </c>
      <c r="Y12" s="11"/>
      <c r="Z12" s="6"/>
      <c r="AA12" s="6"/>
    </row>
    <row r="13" spans="1:35" ht="32.1" customHeight="1" x14ac:dyDescent="0.25">
      <c r="A13" s="6" t="s">
        <v>55</v>
      </c>
      <c r="B13" s="6" t="s">
        <v>209</v>
      </c>
      <c r="F13" s="15" t="s">
        <v>201</v>
      </c>
      <c r="G13" s="15"/>
      <c r="H13" s="39">
        <v>1.7777777777777777</v>
      </c>
      <c r="I13" s="35">
        <v>2</v>
      </c>
      <c r="J13" s="39">
        <v>1.7777777777777777</v>
      </c>
      <c r="K13" s="39">
        <v>1.6666666666666667</v>
      </c>
      <c r="L13" s="39">
        <v>2.4444444444444446</v>
      </c>
      <c r="M13" s="6"/>
      <c r="N13" s="6"/>
      <c r="O13" s="6"/>
      <c r="P13" s="1">
        <v>3</v>
      </c>
      <c r="Q13" s="1" t="str">
        <f>VLOOKUP(Table1[[#This Row],[impact category number]],'Impact categories'!B$3:C$8,2)</f>
        <v>Well-balanced maintenance and end-of-life decisions for the SSBs by including the system, technical and economical perspective.</v>
      </c>
      <c r="R13" s="6">
        <v>3</v>
      </c>
      <c r="S13" s="11"/>
      <c r="T13" s="6" t="s">
        <v>131</v>
      </c>
      <c r="U13" s="6" t="s">
        <v>132</v>
      </c>
      <c r="V13" s="6"/>
      <c r="X13" s="6" t="s">
        <v>41</v>
      </c>
      <c r="Y13" s="11"/>
      <c r="Z13" s="6"/>
      <c r="AA13" s="10"/>
      <c r="AB13" s="10"/>
    </row>
    <row r="14" spans="1:35" ht="46.5" customHeight="1" x14ac:dyDescent="0.25">
      <c r="A14" s="6" t="s">
        <v>55</v>
      </c>
      <c r="B14" s="6" t="s">
        <v>210</v>
      </c>
      <c r="F14" s="10" t="s">
        <v>202</v>
      </c>
      <c r="G14" s="10"/>
      <c r="H14" s="35">
        <v>2.25</v>
      </c>
      <c r="I14" s="35">
        <v>2.3333333333333335</v>
      </c>
      <c r="J14" s="35">
        <v>1.7777777777777777</v>
      </c>
      <c r="K14" s="35">
        <v>1.3333333333333333</v>
      </c>
      <c r="L14" s="35">
        <v>2.5555555555555554</v>
      </c>
      <c r="M14" s="6"/>
      <c r="N14" s="6"/>
      <c r="O14" s="6"/>
      <c r="P14" s="1">
        <v>3</v>
      </c>
      <c r="Q14" s="1" t="str">
        <f>VLOOKUP(Table1[[#This Row],[impact category number]],'Impact categories'!B$3:C$8,2)</f>
        <v>Well-balanced maintenance and end-of-life decisions for the SSBs by including the system, technical and economical perspective.</v>
      </c>
      <c r="R14" s="6">
        <v>3</v>
      </c>
      <c r="S14" s="11"/>
      <c r="T14" s="6" t="s">
        <v>131</v>
      </c>
      <c r="U14" s="6" t="s">
        <v>132</v>
      </c>
      <c r="V14" s="6"/>
      <c r="X14" s="6" t="s">
        <v>41</v>
      </c>
      <c r="Y14" s="11"/>
      <c r="Z14" s="6"/>
      <c r="AA14" s="10"/>
      <c r="AB14" s="10"/>
    </row>
    <row r="15" spans="1:35" ht="39.6" customHeight="1" x14ac:dyDescent="0.25">
      <c r="A15" s="6" t="s">
        <v>55</v>
      </c>
      <c r="B15" s="6" t="s">
        <v>211</v>
      </c>
      <c r="F15" s="10" t="s">
        <v>203</v>
      </c>
      <c r="G15" s="10"/>
      <c r="H15" s="35">
        <v>2.3333333333333335</v>
      </c>
      <c r="I15" s="35">
        <v>2</v>
      </c>
      <c r="J15" s="35">
        <v>1.5</v>
      </c>
      <c r="K15" s="35">
        <v>1.25</v>
      </c>
      <c r="L15" s="35">
        <v>2.6666666666666665</v>
      </c>
      <c r="M15" s="6"/>
      <c r="N15" s="6"/>
      <c r="O15" s="6"/>
      <c r="P15" s="1">
        <v>3</v>
      </c>
      <c r="Q15" s="1" t="str">
        <f>VLOOKUP(Table1[[#This Row],[impact category number]],'Impact categories'!B$3:C$8,2)</f>
        <v>Well-balanced maintenance and end-of-life decisions for the SSBs by including the system, technical and economical perspective.</v>
      </c>
      <c r="R15" s="6">
        <v>3</v>
      </c>
      <c r="S15" s="11"/>
      <c r="T15" s="6" t="s">
        <v>102</v>
      </c>
      <c r="U15" s="6" t="s">
        <v>131</v>
      </c>
      <c r="V15" s="6"/>
      <c r="X15" s="6" t="s">
        <v>41</v>
      </c>
      <c r="Y15" s="11"/>
      <c r="Z15" s="6"/>
      <c r="AA15" s="10"/>
      <c r="AB15" s="10"/>
    </row>
    <row r="16" spans="1:35" ht="48" customHeight="1" x14ac:dyDescent="0.25">
      <c r="A16" s="6" t="s">
        <v>55</v>
      </c>
      <c r="B16" s="6" t="s">
        <v>212</v>
      </c>
      <c r="F16" s="10" t="s">
        <v>204</v>
      </c>
      <c r="G16" s="10"/>
      <c r="H16" s="37">
        <v>2</v>
      </c>
      <c r="I16" s="37">
        <v>1.2222222222222223</v>
      </c>
      <c r="J16" s="37">
        <v>2.7777777777777777</v>
      </c>
      <c r="K16" s="37">
        <v>1.5714285714285714</v>
      </c>
      <c r="L16" s="37">
        <v>1.375</v>
      </c>
      <c r="M16" s="6"/>
      <c r="N16" s="6"/>
      <c r="O16" s="6"/>
      <c r="P16" s="1">
        <v>3</v>
      </c>
      <c r="Q16" s="1" t="str">
        <f>VLOOKUP(Table1[[#This Row],[impact category number]],'Impact categories'!B$3:C$8,2)</f>
        <v>Well-balanced maintenance and end-of-life decisions for the SSBs by including the system, technical and economical perspective.</v>
      </c>
      <c r="R16" s="6">
        <v>2</v>
      </c>
      <c r="S16" s="11"/>
      <c r="T16" s="6" t="s">
        <v>105</v>
      </c>
      <c r="U16" s="6" t="s">
        <v>131</v>
      </c>
      <c r="V16" s="6"/>
      <c r="X16" s="6" t="s">
        <v>46</v>
      </c>
      <c r="Y16" s="11"/>
      <c r="Z16" s="6"/>
      <c r="AA16" s="10"/>
      <c r="AB16" s="10"/>
    </row>
    <row r="17" spans="1:33" ht="105" x14ac:dyDescent="0.25">
      <c r="A17" s="6" t="s">
        <v>55</v>
      </c>
      <c r="B17" s="6" t="s">
        <v>213</v>
      </c>
      <c r="F17" s="10" t="s">
        <v>42</v>
      </c>
      <c r="G17" s="10" t="s">
        <v>47</v>
      </c>
      <c r="H17" s="37">
        <v>1.125</v>
      </c>
      <c r="I17" s="35">
        <v>0.75</v>
      </c>
      <c r="J17" s="37">
        <v>2</v>
      </c>
      <c r="K17" s="37">
        <v>0.75</v>
      </c>
      <c r="L17" s="37">
        <v>1</v>
      </c>
      <c r="M17" s="6"/>
      <c r="N17" s="6"/>
      <c r="O17" s="6"/>
      <c r="P17" s="1">
        <v>3</v>
      </c>
      <c r="Q17" s="1" t="str">
        <f>VLOOKUP(Table1[[#This Row],[impact category number]],'Impact categories'!B$3:C$8,2)</f>
        <v>Well-balanced maintenance and end-of-life decisions for the SSBs by including the system, technical and economical perspective.</v>
      </c>
      <c r="R17" s="6">
        <v>2</v>
      </c>
      <c r="S17" s="11"/>
      <c r="T17" s="6" t="s">
        <v>105</v>
      </c>
      <c r="U17" s="6" t="s">
        <v>102</v>
      </c>
      <c r="V17" s="6"/>
      <c r="X17" s="6" t="s">
        <v>46</v>
      </c>
      <c r="Y17" s="11"/>
      <c r="Z17" s="6"/>
      <c r="AA17" s="10"/>
      <c r="AB17" s="10"/>
    </row>
    <row r="18" spans="1:33" ht="105" x14ac:dyDescent="0.25">
      <c r="A18" s="6" t="s">
        <v>55</v>
      </c>
      <c r="B18" s="6" t="s">
        <v>214</v>
      </c>
      <c r="F18" s="10" t="s">
        <v>43</v>
      </c>
      <c r="G18" s="10" t="s">
        <v>50</v>
      </c>
      <c r="H18" s="38">
        <v>1.8333333333333333</v>
      </c>
      <c r="I18" s="35">
        <v>1.1666666666666667</v>
      </c>
      <c r="J18" s="37">
        <v>2.3333333333333335</v>
      </c>
      <c r="K18" s="37">
        <v>1.6666666666666667</v>
      </c>
      <c r="L18" s="37">
        <v>1.5</v>
      </c>
      <c r="M18" s="6"/>
      <c r="N18" s="6"/>
      <c r="O18" s="6"/>
      <c r="P18" s="1">
        <v>3</v>
      </c>
      <c r="Q18" s="1" t="str">
        <f>VLOOKUP(Table1[[#This Row],[impact category number]],'Impact categories'!B$3:C$8,2)</f>
        <v>Well-balanced maintenance and end-of-life decisions for the SSBs by including the system, technical and economical perspective.</v>
      </c>
      <c r="R18" s="6">
        <v>2</v>
      </c>
      <c r="S18" s="11"/>
      <c r="T18" s="6" t="s">
        <v>105</v>
      </c>
      <c r="U18" s="6" t="s">
        <v>131</v>
      </c>
      <c r="V18" s="6"/>
      <c r="X18" s="6" t="s">
        <v>46</v>
      </c>
      <c r="Y18" s="11"/>
      <c r="Z18" s="6"/>
      <c r="AA18" s="10"/>
      <c r="AB18" s="16"/>
    </row>
    <row r="19" spans="1:33" ht="105" x14ac:dyDescent="0.25">
      <c r="A19" s="6" t="s">
        <v>55</v>
      </c>
      <c r="B19" s="6" t="s">
        <v>215</v>
      </c>
      <c r="F19" s="10" t="s">
        <v>44</v>
      </c>
      <c r="G19" s="1" t="s">
        <v>48</v>
      </c>
      <c r="H19" s="38">
        <v>1.625</v>
      </c>
      <c r="I19" s="38">
        <v>1.125</v>
      </c>
      <c r="J19" s="38">
        <v>2.5</v>
      </c>
      <c r="K19" s="38">
        <v>1.125</v>
      </c>
      <c r="L19" s="38">
        <v>1.875</v>
      </c>
      <c r="M19" s="6"/>
      <c r="N19" s="6"/>
      <c r="O19" s="6"/>
      <c r="P19" s="1">
        <v>3</v>
      </c>
      <c r="Q19" s="1" t="str">
        <f>VLOOKUP(Table1[[#This Row],[impact category number]],'Impact categories'!B$3:C$8,2)</f>
        <v>Well-balanced maintenance and end-of-life decisions for the SSBs by including the system, technical and economical perspective.</v>
      </c>
      <c r="R19" s="6">
        <v>2</v>
      </c>
      <c r="S19" s="11"/>
      <c r="T19" s="6" t="s">
        <v>105</v>
      </c>
      <c r="U19" s="6" t="s">
        <v>102</v>
      </c>
      <c r="V19" s="6"/>
      <c r="X19" s="6" t="s">
        <v>46</v>
      </c>
      <c r="Y19" s="11"/>
      <c r="Z19" s="6"/>
      <c r="AA19" s="10"/>
      <c r="AB19" s="10"/>
    </row>
    <row r="20" spans="1:33" ht="60" x14ac:dyDescent="0.25">
      <c r="A20" s="6" t="s">
        <v>55</v>
      </c>
      <c r="B20" s="6">
        <v>17</v>
      </c>
      <c r="F20" s="10" t="s">
        <v>56</v>
      </c>
      <c r="G20" s="10" t="s">
        <v>62</v>
      </c>
      <c r="H20" s="16"/>
      <c r="J20" s="16"/>
      <c r="K20" s="16"/>
      <c r="L20" s="16"/>
      <c r="M20" s="6"/>
      <c r="N20" s="6"/>
      <c r="O20" s="6"/>
      <c r="P20" s="1">
        <v>2</v>
      </c>
      <c r="Q20" s="1" t="s">
        <v>86</v>
      </c>
      <c r="R20" s="6">
        <v>1</v>
      </c>
      <c r="S20" s="16"/>
      <c r="T20" s="6" t="s">
        <v>106</v>
      </c>
      <c r="U20" s="6" t="s">
        <v>108</v>
      </c>
      <c r="V20" s="6"/>
      <c r="X20" s="6" t="s">
        <v>61</v>
      </c>
      <c r="Y20" s="11"/>
      <c r="Z20" s="6"/>
      <c r="AA20" s="10"/>
      <c r="AB20" s="10"/>
      <c r="AF20" s="19"/>
      <c r="AG20" s="19"/>
    </row>
    <row r="21" spans="1:33" ht="105" x14ac:dyDescent="0.25">
      <c r="A21" s="6" t="s">
        <v>55</v>
      </c>
      <c r="B21" s="6" t="s">
        <v>216</v>
      </c>
      <c r="F21" s="10" t="s">
        <v>45</v>
      </c>
      <c r="G21" s="10" t="s">
        <v>49</v>
      </c>
      <c r="H21" s="35">
        <v>1.5</v>
      </c>
      <c r="I21" s="35">
        <v>1.25</v>
      </c>
      <c r="J21" s="35">
        <v>2.75</v>
      </c>
      <c r="K21" s="35">
        <v>1.125</v>
      </c>
      <c r="L21" s="35">
        <v>1.625</v>
      </c>
      <c r="M21" s="6"/>
      <c r="N21" s="6"/>
      <c r="O21" s="6"/>
      <c r="P21" s="1">
        <v>3</v>
      </c>
      <c r="Q21" s="1" t="str">
        <f>VLOOKUP(Table1[[#This Row],[impact category number]],'Impact categories'!B$3:C$8,2)</f>
        <v>Well-balanced maintenance and end-of-life decisions for the SSBs by including the system, technical and economical perspective.</v>
      </c>
      <c r="R21" s="6">
        <v>2</v>
      </c>
      <c r="S21" s="11"/>
      <c r="T21" s="6" t="s">
        <v>105</v>
      </c>
      <c r="V21" s="6"/>
      <c r="X21" s="6" t="s">
        <v>46</v>
      </c>
      <c r="Y21" s="11"/>
      <c r="Z21" s="6"/>
      <c r="AA21" s="16"/>
      <c r="AB21" s="10"/>
      <c r="AG21" s="19"/>
    </row>
    <row r="22" spans="1:33" ht="60" x14ac:dyDescent="0.25">
      <c r="A22" s="6" t="s">
        <v>54</v>
      </c>
      <c r="B22" s="6" t="s">
        <v>140</v>
      </c>
      <c r="F22" s="10" t="s">
        <v>66</v>
      </c>
      <c r="G22" s="10" t="s">
        <v>62</v>
      </c>
      <c r="H22" s="40">
        <v>2.2999999999999998</v>
      </c>
      <c r="I22" s="41">
        <v>0.4</v>
      </c>
      <c r="J22" s="41">
        <v>1.9</v>
      </c>
      <c r="K22" s="41">
        <v>1.2</v>
      </c>
      <c r="L22" s="41">
        <v>1</v>
      </c>
      <c r="M22" s="6"/>
      <c r="N22" s="6"/>
      <c r="O22" s="6"/>
      <c r="P22" s="1">
        <v>2</v>
      </c>
      <c r="Q22" s="1" t="str">
        <f>VLOOKUP(Table1[[#This Row],[impact category number]],'Impact categories'!B$3:C$8,2)</f>
        <v>Reliable SSBs in technically good condition</v>
      </c>
      <c r="R22" s="14">
        <v>2</v>
      </c>
      <c r="S22" s="11"/>
      <c r="T22" s="6" t="s">
        <v>133</v>
      </c>
      <c r="U22" s="6" t="s">
        <v>106</v>
      </c>
      <c r="V22" s="6"/>
      <c r="W22" s="18"/>
      <c r="X22" s="6" t="s">
        <v>65</v>
      </c>
      <c r="Y22" s="11"/>
      <c r="Z22" s="6"/>
      <c r="AA22" s="10"/>
      <c r="AB22" s="10"/>
      <c r="AG22" s="2"/>
    </row>
    <row r="23" spans="1:33" ht="45" x14ac:dyDescent="0.25">
      <c r="A23" s="6" t="s">
        <v>55</v>
      </c>
      <c r="B23" s="6" t="s">
        <v>141</v>
      </c>
      <c r="F23" s="10" t="s">
        <v>135</v>
      </c>
      <c r="H23" s="35">
        <v>2.2000000000000002</v>
      </c>
      <c r="I23" s="35">
        <v>0.3</v>
      </c>
      <c r="J23" s="35">
        <v>1</v>
      </c>
      <c r="K23" s="35">
        <v>1.3</v>
      </c>
      <c r="L23" s="35">
        <v>0.9</v>
      </c>
      <c r="M23" s="1"/>
      <c r="N23" s="1"/>
      <c r="P23" s="1">
        <v>2</v>
      </c>
      <c r="Q23" s="1" t="str">
        <f>VLOOKUP(Table1[[#This Row],[impact category number]],'Impact categories'!B$3:C$8,2)</f>
        <v>Reliable SSBs in technically good condition</v>
      </c>
      <c r="R23" s="6">
        <v>2</v>
      </c>
      <c r="S23" s="11"/>
      <c r="T23" s="6" t="s">
        <v>133</v>
      </c>
      <c r="V23" s="11"/>
      <c r="X23" s="6" t="s">
        <v>65</v>
      </c>
      <c r="Y23" s="11"/>
      <c r="Z23" s="11"/>
      <c r="AA23" s="6"/>
      <c r="AG23" s="2"/>
    </row>
    <row r="24" spans="1:33" ht="45" x14ac:dyDescent="0.25">
      <c r="A24" s="6" t="s">
        <v>55</v>
      </c>
      <c r="B24" s="6" t="s">
        <v>142</v>
      </c>
      <c r="F24" s="34" t="s">
        <v>136</v>
      </c>
      <c r="H24" s="35">
        <v>2.2000000000000002</v>
      </c>
      <c r="I24" s="35">
        <v>0.7</v>
      </c>
      <c r="J24" s="35">
        <v>1.3</v>
      </c>
      <c r="K24" s="35">
        <v>2.1</v>
      </c>
      <c r="L24" s="35">
        <v>1.3</v>
      </c>
      <c r="M24" s="1"/>
      <c r="N24" s="1"/>
      <c r="P24" s="1">
        <v>2</v>
      </c>
      <c r="Q24" s="1" t="str">
        <f>VLOOKUP(Table1[[#This Row],[impact category number]],'Impact categories'!B$3:C$8,2)</f>
        <v>Reliable SSBs in technically good condition</v>
      </c>
      <c r="R24" s="6">
        <v>2</v>
      </c>
      <c r="S24" s="11"/>
      <c r="T24" s="6" t="s">
        <v>133</v>
      </c>
      <c r="U24" s="6" t="s">
        <v>105</v>
      </c>
      <c r="V24" s="11"/>
      <c r="X24" s="6" t="s">
        <v>65</v>
      </c>
      <c r="Y24" s="11"/>
      <c r="Z24" s="11"/>
      <c r="AA24" s="6"/>
      <c r="AG24" s="2"/>
    </row>
    <row r="25" spans="1:33" ht="45" x14ac:dyDescent="0.25">
      <c r="A25" s="6" t="s">
        <v>55</v>
      </c>
      <c r="B25" s="6" t="s">
        <v>151</v>
      </c>
      <c r="F25" s="10" t="s">
        <v>58</v>
      </c>
      <c r="G25" s="10"/>
      <c r="H25" s="35">
        <v>2.4</v>
      </c>
      <c r="I25" s="35">
        <v>0.3</v>
      </c>
      <c r="J25" s="35">
        <v>2</v>
      </c>
      <c r="K25" s="35">
        <v>1.3</v>
      </c>
      <c r="L25" s="35">
        <v>1.3</v>
      </c>
      <c r="M25" s="6" t="s">
        <v>233</v>
      </c>
      <c r="N25" s="6"/>
      <c r="O25" s="6"/>
      <c r="P25" s="1">
        <v>2</v>
      </c>
      <c r="Q25" s="1" t="str">
        <f>VLOOKUP(Table1[[#This Row],[impact category number]],'Impact categories'!B$3:C$8,2)</f>
        <v>Reliable SSBs in technically good condition</v>
      </c>
      <c r="R25" s="6">
        <v>2</v>
      </c>
      <c r="S25" s="11"/>
      <c r="T25" s="6" t="s">
        <v>108</v>
      </c>
      <c r="V25" s="6"/>
      <c r="X25" s="6" t="s">
        <v>67</v>
      </c>
      <c r="Y25" s="11"/>
      <c r="Z25" s="6"/>
      <c r="AA25" s="6"/>
      <c r="AG25" s="14"/>
    </row>
    <row r="26" spans="1:33" ht="45" x14ac:dyDescent="0.25">
      <c r="A26" s="6" t="s">
        <v>55</v>
      </c>
      <c r="B26" s="6" t="s">
        <v>152</v>
      </c>
      <c r="F26" s="10" t="s">
        <v>59</v>
      </c>
      <c r="G26" s="1"/>
      <c r="H26" s="35">
        <v>1.8</v>
      </c>
      <c r="I26" s="35">
        <v>0.2</v>
      </c>
      <c r="J26" s="35">
        <v>2.2999999999999998</v>
      </c>
      <c r="K26" s="35">
        <v>0.8</v>
      </c>
      <c r="L26" s="35">
        <v>0.7</v>
      </c>
      <c r="M26" s="6" t="s">
        <v>234</v>
      </c>
      <c r="N26" s="6"/>
      <c r="O26" s="6"/>
      <c r="P26" s="1">
        <v>2</v>
      </c>
      <c r="Q26" s="1" t="str">
        <f>VLOOKUP(Table1[[#This Row],[impact category number]],'Impact categories'!B$3:C$8,2)</f>
        <v>Reliable SSBs in technically good condition</v>
      </c>
      <c r="R26" s="6">
        <v>2</v>
      </c>
      <c r="S26" s="11"/>
      <c r="T26" s="6" t="s">
        <v>106</v>
      </c>
      <c r="V26" s="6"/>
      <c r="X26" s="6" t="s">
        <v>67</v>
      </c>
      <c r="Y26" s="11"/>
      <c r="Z26" s="6"/>
      <c r="AA26" s="6"/>
      <c r="AG26" s="14"/>
    </row>
    <row r="27" spans="1:33" ht="45" x14ac:dyDescent="0.25">
      <c r="A27" s="6" t="s">
        <v>55</v>
      </c>
      <c r="B27" s="6" t="s">
        <v>153</v>
      </c>
      <c r="F27" s="10" t="s">
        <v>60</v>
      </c>
      <c r="G27" s="2"/>
      <c r="H27" s="41">
        <v>2</v>
      </c>
      <c r="I27" s="41">
        <v>0.5</v>
      </c>
      <c r="J27" s="41">
        <v>2.1</v>
      </c>
      <c r="K27" s="41">
        <v>1.3</v>
      </c>
      <c r="L27" s="41">
        <v>0.8</v>
      </c>
      <c r="M27" s="6" t="s">
        <v>235</v>
      </c>
      <c r="N27" s="6"/>
      <c r="O27" s="6"/>
      <c r="P27" s="1">
        <v>2</v>
      </c>
      <c r="Q27" s="1" t="str">
        <f>VLOOKUP(Table1[[#This Row],[impact category number]],'Impact categories'!B$3:C$8,2)</f>
        <v>Reliable SSBs in technically good condition</v>
      </c>
      <c r="R27" s="6">
        <v>3</v>
      </c>
      <c r="S27" s="11"/>
      <c r="T27" s="6" t="s">
        <v>105</v>
      </c>
      <c r="U27" s="6" t="s">
        <v>132</v>
      </c>
      <c r="V27" s="6"/>
      <c r="X27" s="6" t="s">
        <v>67</v>
      </c>
      <c r="Y27" s="11"/>
      <c r="Z27" s="6"/>
      <c r="AA27" s="1"/>
      <c r="AB27" s="1"/>
      <c r="AF27" s="25"/>
    </row>
    <row r="28" spans="1:33" ht="90" x14ac:dyDescent="0.25">
      <c r="A28" s="6" t="s">
        <v>55</v>
      </c>
      <c r="B28" s="6" t="s">
        <v>155</v>
      </c>
      <c r="F28" s="10" t="s">
        <v>154</v>
      </c>
      <c r="H28" s="35">
        <v>2</v>
      </c>
      <c r="I28" s="35">
        <v>0.4</v>
      </c>
      <c r="J28" s="35">
        <v>2.4</v>
      </c>
      <c r="K28" s="35">
        <v>1.1000000000000001</v>
      </c>
      <c r="L28" s="35">
        <v>0.9</v>
      </c>
      <c r="M28" s="1" t="s">
        <v>232</v>
      </c>
      <c r="N28" s="1"/>
      <c r="P28" s="1">
        <v>2</v>
      </c>
      <c r="Q28" s="1" t="str">
        <f>VLOOKUP(Table1[[#This Row],[impact category number]],'Impact categories'!B$3:C$8,2)</f>
        <v>Reliable SSBs in technically good condition</v>
      </c>
      <c r="R28" s="6">
        <v>2</v>
      </c>
      <c r="S28" s="11"/>
      <c r="T28" s="6" t="s">
        <v>106</v>
      </c>
      <c r="U28" s="6" t="s">
        <v>132</v>
      </c>
      <c r="V28" s="11"/>
      <c r="X28" s="6" t="s">
        <v>67</v>
      </c>
      <c r="Y28" s="11"/>
      <c r="Z28" s="11"/>
      <c r="AA28" s="6"/>
      <c r="AF28" s="14"/>
    </row>
    <row r="29" spans="1:33" ht="60" x14ac:dyDescent="0.25">
      <c r="A29" s="6" t="s">
        <v>93</v>
      </c>
      <c r="B29" s="6" t="s">
        <v>145</v>
      </c>
      <c r="F29" s="10" t="s">
        <v>143</v>
      </c>
      <c r="G29" s="10"/>
      <c r="H29" s="36">
        <v>2.2999999999999998</v>
      </c>
      <c r="I29" s="35">
        <v>0.4</v>
      </c>
      <c r="J29" s="36">
        <v>1.8</v>
      </c>
      <c r="K29" s="36">
        <v>1.3</v>
      </c>
      <c r="L29" s="36">
        <v>1.9</v>
      </c>
      <c r="M29" s="6"/>
      <c r="N29" s="6"/>
      <c r="O29" s="6"/>
      <c r="P29" s="1">
        <v>2</v>
      </c>
      <c r="Q29" s="1" t="str">
        <f>VLOOKUP(Table1[[#This Row],[impact category number]],'Impact categories'!B$3:C$8,2)</f>
        <v>Reliable SSBs in technically good condition</v>
      </c>
      <c r="R29" s="6">
        <v>3</v>
      </c>
      <c r="S29" s="20"/>
      <c r="T29" s="6" t="s">
        <v>132</v>
      </c>
      <c r="V29" s="1"/>
      <c r="X29" s="6" t="s">
        <v>64</v>
      </c>
      <c r="Y29" s="11"/>
      <c r="Z29" s="6"/>
      <c r="AA29" s="6"/>
    </row>
    <row r="30" spans="1:33" ht="45" x14ac:dyDescent="0.25">
      <c r="A30" s="6" t="s">
        <v>93</v>
      </c>
      <c r="B30" s="6" t="s">
        <v>146</v>
      </c>
      <c r="E30" s="1"/>
      <c r="F30" s="1" t="s">
        <v>144</v>
      </c>
      <c r="G30" s="10"/>
      <c r="H30" s="35">
        <v>2.4</v>
      </c>
      <c r="I30" s="35">
        <v>0.8</v>
      </c>
      <c r="J30" s="35">
        <v>1.8</v>
      </c>
      <c r="K30" s="35">
        <v>1.6</v>
      </c>
      <c r="L30" s="35">
        <v>2.1111111111111112</v>
      </c>
      <c r="M30" s="1"/>
      <c r="N30" s="1"/>
      <c r="P30" s="1">
        <v>2</v>
      </c>
      <c r="Q30" s="1" t="str">
        <f>VLOOKUP(Table1[[#This Row],[impact category number]],'Impact categories'!B$3:C$8,2)</f>
        <v>Reliable SSBs in technically good condition</v>
      </c>
      <c r="R30" s="6">
        <v>3</v>
      </c>
      <c r="S30" s="10"/>
      <c r="T30" s="6" t="s">
        <v>132</v>
      </c>
      <c r="U30" s="1" t="s">
        <v>131</v>
      </c>
      <c r="V30" s="6"/>
      <c r="X30" s="6" t="s">
        <v>64</v>
      </c>
      <c r="Y30" s="11"/>
      <c r="Z30" s="6"/>
      <c r="AA30" s="6"/>
    </row>
    <row r="31" spans="1:33" ht="210" x14ac:dyDescent="0.25">
      <c r="A31" s="6" t="s">
        <v>55</v>
      </c>
      <c r="B31" s="6" t="s">
        <v>159</v>
      </c>
      <c r="F31" s="17" t="s">
        <v>158</v>
      </c>
      <c r="G31" s="1" t="s">
        <v>160</v>
      </c>
      <c r="H31" s="35">
        <v>1.1000000000000001</v>
      </c>
      <c r="I31" s="35">
        <v>2.6</v>
      </c>
      <c r="J31" s="35">
        <v>1.3</v>
      </c>
      <c r="K31" s="35">
        <v>0.6</v>
      </c>
      <c r="M31" s="6"/>
      <c r="N31" s="6"/>
      <c r="O31" s="6"/>
      <c r="P31" s="1">
        <v>3</v>
      </c>
      <c r="Q31" s="1" t="str">
        <f>VLOOKUP(Table1[[#This Row],[impact category number]],'Impact categories'!B$3:C$8,2)</f>
        <v>Well-balanced maintenance and end-of-life decisions for the SSBs by including the system, technical and economical perspective.</v>
      </c>
      <c r="R31" s="6">
        <v>2</v>
      </c>
      <c r="S31" s="11"/>
      <c r="T31" s="6" t="s">
        <v>131</v>
      </c>
      <c r="V31" s="6"/>
      <c r="X31" s="6" t="s">
        <v>74</v>
      </c>
      <c r="Y31" s="11"/>
      <c r="Z31" s="6"/>
      <c r="AA31" s="6"/>
    </row>
    <row r="32" spans="1:33" ht="29.1" customHeight="1" x14ac:dyDescent="0.25">
      <c r="A32" s="6" t="s">
        <v>55</v>
      </c>
      <c r="B32" s="6" t="s">
        <v>165</v>
      </c>
      <c r="F32" s="10" t="s">
        <v>164</v>
      </c>
      <c r="G32" s="6" t="s">
        <v>166</v>
      </c>
      <c r="H32" s="35">
        <v>1.7272727272727273</v>
      </c>
      <c r="I32" s="35">
        <v>2.6363636363636362</v>
      </c>
      <c r="J32" s="35">
        <v>1.4545454545454546</v>
      </c>
      <c r="K32" s="35">
        <v>1.0909090909090908</v>
      </c>
      <c r="M32" s="6"/>
      <c r="N32" s="6"/>
      <c r="O32" s="6"/>
      <c r="P32" s="1">
        <v>1</v>
      </c>
      <c r="Q32" s="1" t="str">
        <f>VLOOKUP(Table1[[#This Row],[impact category number]],'Impact categories'!B$3:C$8,2)</f>
        <v>SSBs contribute to satisfying socio-economic and environmental needs in the hinterland</v>
      </c>
      <c r="R32" s="6">
        <v>2</v>
      </c>
      <c r="S32" s="11"/>
      <c r="T32" s="6" t="s">
        <v>131</v>
      </c>
      <c r="V32" s="6"/>
      <c r="X32" s="6" t="s">
        <v>74</v>
      </c>
      <c r="Y32" s="11"/>
      <c r="Z32" s="6"/>
      <c r="AA32" s="6"/>
    </row>
    <row r="33" spans="1:27" ht="270" x14ac:dyDescent="0.25">
      <c r="A33" s="6" t="s">
        <v>55</v>
      </c>
      <c r="B33" s="6" t="s">
        <v>169</v>
      </c>
      <c r="F33" s="10" t="s">
        <v>167</v>
      </c>
      <c r="G33" s="1" t="s">
        <v>168</v>
      </c>
      <c r="H33" s="35">
        <v>1.7272727272727273</v>
      </c>
      <c r="I33" s="35">
        <v>2.5454545454545454</v>
      </c>
      <c r="J33" s="35">
        <v>1.1818181818181819</v>
      </c>
      <c r="K33" s="35">
        <v>0.81818181818181823</v>
      </c>
      <c r="M33" s="6"/>
      <c r="N33" s="6"/>
      <c r="O33" s="6"/>
      <c r="P33" s="1">
        <v>1</v>
      </c>
      <c r="Q33" s="1" t="str">
        <f>VLOOKUP(Table1[[#This Row],[impact category number]],'Impact categories'!B$3:C$8,2)</f>
        <v>SSBs contribute to satisfying socio-economic and environmental needs in the hinterland</v>
      </c>
      <c r="R33" s="6">
        <v>3</v>
      </c>
      <c r="S33" s="11"/>
      <c r="T33" s="6" t="s">
        <v>131</v>
      </c>
      <c r="V33" s="6"/>
      <c r="X33" s="6" t="s">
        <v>74</v>
      </c>
      <c r="Y33" s="11"/>
      <c r="Z33" s="6"/>
      <c r="AA33" s="6"/>
    </row>
    <row r="34" spans="1:27" ht="75" x14ac:dyDescent="0.25">
      <c r="A34" s="6" t="s">
        <v>55</v>
      </c>
      <c r="B34" s="6" t="s">
        <v>171</v>
      </c>
      <c r="F34" s="10" t="s">
        <v>170</v>
      </c>
      <c r="H34" s="35">
        <v>2.0909090909090908</v>
      </c>
      <c r="I34" s="35">
        <v>1.6363636363636365</v>
      </c>
      <c r="J34" s="35">
        <v>1.2727272727272727</v>
      </c>
      <c r="K34" s="35">
        <v>0.90909090909090906</v>
      </c>
      <c r="M34" s="6"/>
      <c r="N34" s="6"/>
      <c r="O34" s="6"/>
      <c r="P34" s="1">
        <v>1</v>
      </c>
      <c r="Q34" s="1" t="str">
        <f>VLOOKUP(Table1[[#This Row],[impact category number]],'Impact categories'!B$3:C$8,2)</f>
        <v>SSBs contribute to satisfying socio-economic and environmental needs in the hinterland</v>
      </c>
      <c r="R34" s="6">
        <v>3</v>
      </c>
      <c r="S34" s="11"/>
      <c r="T34" s="6" t="s">
        <v>131</v>
      </c>
      <c r="V34" s="6"/>
      <c r="X34" s="6" t="s">
        <v>74</v>
      </c>
      <c r="Y34" s="11"/>
      <c r="Z34" s="6"/>
      <c r="AA34" s="6"/>
    </row>
    <row r="35" spans="1:27" ht="60" x14ac:dyDescent="0.25">
      <c r="A35" s="6" t="s">
        <v>55</v>
      </c>
      <c r="B35" s="6">
        <v>18</v>
      </c>
      <c r="F35" s="10" t="s">
        <v>57</v>
      </c>
      <c r="G35" s="10" t="s">
        <v>62</v>
      </c>
      <c r="M35" s="1"/>
      <c r="N35" s="1"/>
      <c r="P35" s="1">
        <v>2</v>
      </c>
      <c r="Q35" s="1" t="s">
        <v>86</v>
      </c>
      <c r="R35" s="6">
        <v>2</v>
      </c>
      <c r="S35" s="11"/>
      <c r="T35" s="6" t="s">
        <v>106</v>
      </c>
      <c r="U35" s="5"/>
      <c r="V35" s="6"/>
      <c r="X35" s="6" t="s">
        <v>61</v>
      </c>
      <c r="Y35" s="11"/>
      <c r="Z35" s="6"/>
      <c r="AA35" s="6"/>
    </row>
    <row r="36" spans="1:27" ht="165" x14ac:dyDescent="0.25">
      <c r="A36" s="6" t="s">
        <v>55</v>
      </c>
      <c r="B36" s="6" t="s">
        <v>163</v>
      </c>
      <c r="F36" s="17" t="s">
        <v>161</v>
      </c>
      <c r="G36" s="1" t="s">
        <v>162</v>
      </c>
      <c r="H36" s="35">
        <v>0.18181818181818182</v>
      </c>
      <c r="I36" s="35">
        <v>2.3636363636363638</v>
      </c>
      <c r="J36" s="35">
        <v>1</v>
      </c>
      <c r="K36" s="35">
        <v>0.45454545454545453</v>
      </c>
      <c r="M36" s="6"/>
      <c r="N36" s="6"/>
      <c r="O36" s="6"/>
      <c r="P36" s="1">
        <v>3</v>
      </c>
      <c r="Q36" s="1" t="str">
        <f>VLOOKUP(Table1[[#This Row],[impact category number]],'Impact categories'!B$3:C$8,2)</f>
        <v>Well-balanced maintenance and end-of-life decisions for the SSBs by including the system, technical and economical perspective.</v>
      </c>
      <c r="R36" s="6">
        <v>2</v>
      </c>
      <c r="S36" s="11"/>
      <c r="T36" s="6" t="s">
        <v>131</v>
      </c>
      <c r="V36" s="6"/>
      <c r="X36" s="6" t="s">
        <v>74</v>
      </c>
      <c r="Y36" s="11"/>
      <c r="Z36" s="6"/>
      <c r="AA36" s="6"/>
    </row>
    <row r="37" spans="1:27" ht="75" x14ac:dyDescent="0.25">
      <c r="A37" s="6" t="s">
        <v>55</v>
      </c>
      <c r="B37" s="6">
        <v>32</v>
      </c>
      <c r="F37" s="10" t="s">
        <v>70</v>
      </c>
      <c r="G37" s="6" t="s">
        <v>75</v>
      </c>
      <c r="M37" s="1"/>
      <c r="N37" s="1"/>
      <c r="P37" s="1">
        <v>1</v>
      </c>
      <c r="Q37" s="1" t="s">
        <v>85</v>
      </c>
      <c r="R37" s="6">
        <v>3</v>
      </c>
      <c r="S37" s="11"/>
      <c r="T37" s="6" t="s">
        <v>104</v>
      </c>
      <c r="V37" s="6"/>
      <c r="X37" s="6" t="s">
        <v>61</v>
      </c>
      <c r="Y37" s="11"/>
      <c r="Z37" s="6"/>
      <c r="AA37" s="6"/>
    </row>
    <row r="38" spans="1:27" ht="105" x14ac:dyDescent="0.25">
      <c r="A38" s="6" t="s">
        <v>55</v>
      </c>
      <c r="B38" s="6">
        <v>48</v>
      </c>
      <c r="F38" s="26" t="s">
        <v>92</v>
      </c>
      <c r="M38" s="1"/>
      <c r="N38" s="1"/>
      <c r="P38" s="1">
        <v>3</v>
      </c>
      <c r="Q38" s="1" t="s">
        <v>89</v>
      </c>
      <c r="R38" s="6">
        <v>3</v>
      </c>
      <c r="S38" s="11"/>
      <c r="T38" s="6" t="s">
        <v>105</v>
      </c>
      <c r="U38" s="6" t="s">
        <v>103</v>
      </c>
      <c r="V38" s="6"/>
      <c r="X38" s="6" t="s">
        <v>61</v>
      </c>
      <c r="Y38" s="11"/>
      <c r="Z38" s="6"/>
      <c r="AA38" s="6"/>
    </row>
    <row r="39" spans="1:27" ht="75" x14ac:dyDescent="0.25">
      <c r="A39" s="6" t="s">
        <v>55</v>
      </c>
      <c r="B39" s="6">
        <v>45</v>
      </c>
      <c r="F39" s="10" t="s">
        <v>83</v>
      </c>
      <c r="M39" s="1"/>
      <c r="N39" s="1"/>
      <c r="P39" s="1">
        <v>1</v>
      </c>
      <c r="Q39" s="1" t="s">
        <v>85</v>
      </c>
      <c r="R39" s="6">
        <v>3</v>
      </c>
      <c r="S39" s="11"/>
      <c r="T39" s="6" t="s">
        <v>132</v>
      </c>
      <c r="V39" s="6"/>
      <c r="X39" s="6" t="s">
        <v>61</v>
      </c>
      <c r="Y39" s="11"/>
      <c r="Z39" s="6"/>
      <c r="AA39" s="6"/>
    </row>
    <row r="40" spans="1:27" ht="105" x14ac:dyDescent="0.25">
      <c r="A40" s="6" t="s">
        <v>55</v>
      </c>
      <c r="B40" s="6">
        <v>46</v>
      </c>
      <c r="F40" s="10" t="s">
        <v>84</v>
      </c>
      <c r="M40" s="1"/>
      <c r="N40" s="1"/>
      <c r="P40" s="1">
        <v>3</v>
      </c>
      <c r="Q40" s="1" t="s">
        <v>89</v>
      </c>
      <c r="R40" s="6">
        <v>3</v>
      </c>
      <c r="S40" s="11"/>
      <c r="T40" s="6" t="s">
        <v>102</v>
      </c>
      <c r="U40" s="6" t="s">
        <v>103</v>
      </c>
      <c r="V40" s="6"/>
      <c r="X40" s="6" t="s">
        <v>61</v>
      </c>
      <c r="Y40" s="11"/>
      <c r="Z40" s="6"/>
      <c r="AA40" s="6"/>
    </row>
    <row r="41" spans="1:27" ht="75" x14ac:dyDescent="0.25">
      <c r="A41" s="6" t="s">
        <v>55</v>
      </c>
      <c r="B41" s="6">
        <v>40</v>
      </c>
      <c r="F41" s="10" t="s">
        <v>78</v>
      </c>
      <c r="G41" s="23"/>
      <c r="M41" s="1"/>
      <c r="N41" s="1"/>
      <c r="P41" s="1">
        <v>1</v>
      </c>
      <c r="Q41" s="1" t="s">
        <v>85</v>
      </c>
      <c r="R41" s="6">
        <v>3</v>
      </c>
      <c r="S41" s="11"/>
      <c r="T41" s="6" t="s">
        <v>104</v>
      </c>
      <c r="U41" s="6" t="s">
        <v>106</v>
      </c>
      <c r="V41" s="6"/>
      <c r="X41" s="6" t="s">
        <v>61</v>
      </c>
      <c r="Y41" s="11"/>
      <c r="Z41" s="6"/>
      <c r="AA41" s="6"/>
    </row>
    <row r="42" spans="1:27" ht="75" x14ac:dyDescent="0.25">
      <c r="A42" s="6" t="s">
        <v>55</v>
      </c>
      <c r="B42" s="6">
        <v>41</v>
      </c>
      <c r="F42" s="10" t="s">
        <v>79</v>
      </c>
      <c r="G42" s="23"/>
      <c r="M42" s="1"/>
      <c r="N42" s="1"/>
      <c r="P42" s="1">
        <v>1</v>
      </c>
      <c r="Q42" s="1" t="s">
        <v>85</v>
      </c>
      <c r="R42" s="6">
        <v>3</v>
      </c>
      <c r="S42" s="11"/>
      <c r="T42" s="6" t="s">
        <v>104</v>
      </c>
      <c r="V42" s="6"/>
      <c r="X42" s="6" t="s">
        <v>61</v>
      </c>
      <c r="Y42" s="11"/>
      <c r="Z42" s="6"/>
      <c r="AA42" s="6"/>
    </row>
    <row r="43" spans="1:27" ht="75" x14ac:dyDescent="0.25">
      <c r="A43" s="6" t="s">
        <v>55</v>
      </c>
      <c r="B43" s="6">
        <v>42</v>
      </c>
      <c r="F43" s="10" t="s">
        <v>80</v>
      </c>
      <c r="G43" s="23"/>
      <c r="M43" s="1"/>
      <c r="N43" s="1"/>
      <c r="P43" s="1">
        <v>1</v>
      </c>
      <c r="Q43" s="1" t="s">
        <v>85</v>
      </c>
      <c r="R43" s="6">
        <v>3</v>
      </c>
      <c r="S43" s="11"/>
      <c r="T43" s="6" t="s">
        <v>104</v>
      </c>
      <c r="V43" s="6"/>
      <c r="X43" s="6" t="s">
        <v>61</v>
      </c>
      <c r="Y43" s="11"/>
      <c r="Z43" s="6"/>
      <c r="AA43" s="6"/>
    </row>
    <row r="44" spans="1:27" ht="75" x14ac:dyDescent="0.25">
      <c r="A44" s="6" t="s">
        <v>55</v>
      </c>
      <c r="B44" s="6">
        <v>43</v>
      </c>
      <c r="F44" s="10" t="s">
        <v>81</v>
      </c>
      <c r="G44" s="23"/>
      <c r="M44" s="1"/>
      <c r="N44" s="1"/>
      <c r="P44" s="1">
        <v>1</v>
      </c>
      <c r="Q44" s="1" t="s">
        <v>85</v>
      </c>
      <c r="R44" s="6">
        <v>3</v>
      </c>
      <c r="S44" s="11"/>
      <c r="T44" s="6" t="s">
        <v>104</v>
      </c>
      <c r="V44" s="6"/>
      <c r="X44" s="6" t="s">
        <v>61</v>
      </c>
      <c r="Y44" s="11"/>
      <c r="Z44" s="6"/>
      <c r="AA44" s="6"/>
    </row>
    <row r="45" spans="1:27" ht="75" x14ac:dyDescent="0.25">
      <c r="A45" s="6" t="s">
        <v>55</v>
      </c>
      <c r="B45" s="6">
        <v>44</v>
      </c>
      <c r="F45" s="26" t="s">
        <v>82</v>
      </c>
      <c r="M45" s="1"/>
      <c r="N45" s="1"/>
      <c r="P45" s="1">
        <v>1</v>
      </c>
      <c r="Q45" s="1" t="s">
        <v>85</v>
      </c>
      <c r="R45" s="6">
        <v>3</v>
      </c>
      <c r="S45" s="11"/>
      <c r="T45" s="6" t="s">
        <v>132</v>
      </c>
      <c r="U45" s="6" t="s">
        <v>106</v>
      </c>
      <c r="V45" s="6"/>
      <c r="X45" s="18" t="s">
        <v>61</v>
      </c>
      <c r="Y45" s="11"/>
      <c r="Z45" s="6"/>
      <c r="AA45" s="6"/>
    </row>
    <row r="46" spans="1:27" ht="75" x14ac:dyDescent="0.25">
      <c r="A46" s="6" t="s">
        <v>55</v>
      </c>
      <c r="B46" s="6">
        <v>37</v>
      </c>
      <c r="F46" s="10" t="s">
        <v>72</v>
      </c>
      <c r="G46" s="6" t="s">
        <v>76</v>
      </c>
      <c r="M46" s="1"/>
      <c r="N46" s="1"/>
      <c r="P46" s="5">
        <v>1</v>
      </c>
      <c r="Q46" s="5" t="s">
        <v>85</v>
      </c>
      <c r="R46" s="6">
        <v>3</v>
      </c>
      <c r="S46" s="11"/>
      <c r="T46" s="6" t="s">
        <v>133</v>
      </c>
      <c r="U46" s="6" t="s">
        <v>105</v>
      </c>
      <c r="V46" s="6"/>
      <c r="X46" s="18" t="s">
        <v>61</v>
      </c>
      <c r="Y46" s="11"/>
      <c r="Z46" s="6"/>
      <c r="AA46" s="6"/>
    </row>
    <row r="47" spans="1:27" ht="105" x14ac:dyDescent="0.25">
      <c r="A47" s="6" t="s">
        <v>55</v>
      </c>
      <c r="B47" s="6">
        <v>47</v>
      </c>
      <c r="F47" s="26" t="s">
        <v>91</v>
      </c>
      <c r="M47" s="1"/>
      <c r="N47" s="1"/>
      <c r="P47" s="1">
        <v>3</v>
      </c>
      <c r="Q47" s="1" t="s">
        <v>89</v>
      </c>
      <c r="R47" s="6">
        <v>2</v>
      </c>
      <c r="S47" s="11"/>
      <c r="T47" s="6" t="s">
        <v>105</v>
      </c>
      <c r="U47" s="6" t="s">
        <v>109</v>
      </c>
      <c r="V47" s="6"/>
      <c r="X47" s="6" t="s">
        <v>61</v>
      </c>
      <c r="Y47" s="11"/>
      <c r="Z47" s="6"/>
      <c r="AA47" s="6"/>
    </row>
    <row r="48" spans="1:27" ht="105" x14ac:dyDescent="0.25">
      <c r="A48" s="6" t="s">
        <v>55</v>
      </c>
      <c r="B48" s="6">
        <v>38</v>
      </c>
      <c r="F48" s="10" t="s">
        <v>73</v>
      </c>
      <c r="G48" s="6" t="s">
        <v>77</v>
      </c>
      <c r="M48" s="1"/>
      <c r="N48" s="1"/>
      <c r="P48" s="1">
        <v>3</v>
      </c>
      <c r="Q48" s="1" t="s">
        <v>89</v>
      </c>
      <c r="R48" s="6">
        <v>3</v>
      </c>
      <c r="S48" s="11"/>
      <c r="T48" s="6" t="s">
        <v>131</v>
      </c>
      <c r="V48" s="6"/>
      <c r="X48" s="18" t="s">
        <v>61</v>
      </c>
      <c r="Y48" s="11"/>
      <c r="Z48" s="6"/>
      <c r="AA48" s="6"/>
    </row>
    <row r="49" spans="1:27" ht="45" x14ac:dyDescent="0.25">
      <c r="A49" s="6" t="s">
        <v>55</v>
      </c>
      <c r="B49" s="6">
        <v>35</v>
      </c>
      <c r="F49" s="10" t="s">
        <v>71</v>
      </c>
      <c r="M49" s="1"/>
      <c r="N49" s="1"/>
      <c r="P49" s="5">
        <v>2</v>
      </c>
      <c r="Q49" s="5" t="s">
        <v>86</v>
      </c>
      <c r="R49" s="6">
        <v>2</v>
      </c>
      <c r="S49" s="11"/>
      <c r="T49" s="6" t="s">
        <v>105</v>
      </c>
      <c r="U49" s="6" t="s">
        <v>132</v>
      </c>
      <c r="V49" s="6"/>
      <c r="X49" s="18" t="s">
        <v>61</v>
      </c>
      <c r="Y49" s="11"/>
      <c r="Z49" s="6"/>
      <c r="AA49" s="6"/>
    </row>
    <row r="50" spans="1:27" ht="45" x14ac:dyDescent="0.25">
      <c r="A50" s="6" t="s">
        <v>55</v>
      </c>
      <c r="B50" s="6">
        <v>26</v>
      </c>
      <c r="F50" s="10" t="s">
        <v>60</v>
      </c>
      <c r="G50" s="10" t="s">
        <v>63</v>
      </c>
      <c r="M50" s="1"/>
      <c r="N50" s="1"/>
      <c r="P50" s="1">
        <v>2</v>
      </c>
      <c r="Q50" s="1" t="s">
        <v>86</v>
      </c>
      <c r="R50" s="6">
        <v>3</v>
      </c>
      <c r="S50" s="11"/>
      <c r="T50" s="6" t="s">
        <v>106</v>
      </c>
      <c r="U50" s="6" t="s">
        <v>133</v>
      </c>
      <c r="V50" s="6"/>
      <c r="X50" s="18" t="s">
        <v>61</v>
      </c>
      <c r="Y50" s="11"/>
      <c r="Z50" s="6"/>
      <c r="AA50" s="6"/>
    </row>
    <row r="51" spans="1:27" ht="105" x14ac:dyDescent="0.25">
      <c r="A51" s="6" t="s">
        <v>55</v>
      </c>
      <c r="B51" s="6">
        <v>51</v>
      </c>
      <c r="F51" s="26" t="s">
        <v>94</v>
      </c>
      <c r="M51" s="1"/>
      <c r="N51" s="1"/>
      <c r="P51" s="1">
        <v>3</v>
      </c>
      <c r="Q51" s="1" t="s">
        <v>89</v>
      </c>
      <c r="R51" s="6">
        <v>3</v>
      </c>
      <c r="S51" s="11"/>
      <c r="T51" s="6" t="s">
        <v>105</v>
      </c>
      <c r="U51" s="6" t="s">
        <v>103</v>
      </c>
      <c r="V51" s="6"/>
      <c r="X51" s="6" t="s">
        <v>61</v>
      </c>
      <c r="Y51" s="11"/>
      <c r="Z51" s="6"/>
      <c r="AA51" s="6"/>
    </row>
    <row r="52" spans="1:27" ht="105" x14ac:dyDescent="0.25">
      <c r="A52" s="6" t="s">
        <v>55</v>
      </c>
      <c r="B52" s="6">
        <v>52</v>
      </c>
      <c r="F52" s="26" t="s">
        <v>95</v>
      </c>
      <c r="M52" s="1"/>
      <c r="N52" s="1"/>
      <c r="P52" s="1">
        <v>3</v>
      </c>
      <c r="Q52" s="1" t="s">
        <v>89</v>
      </c>
      <c r="R52" s="6">
        <v>3</v>
      </c>
      <c r="S52" s="11"/>
      <c r="T52" s="6" t="s">
        <v>105</v>
      </c>
      <c r="U52" s="6" t="s">
        <v>103</v>
      </c>
      <c r="V52" s="6"/>
      <c r="X52" s="6" t="s">
        <v>61</v>
      </c>
      <c r="Y52" s="11"/>
      <c r="Z52" s="6"/>
      <c r="AA52" s="6"/>
    </row>
    <row r="53" spans="1:27" ht="105" x14ac:dyDescent="0.25">
      <c r="A53" s="6" t="s">
        <v>55</v>
      </c>
      <c r="B53" s="6">
        <v>53</v>
      </c>
      <c r="F53" s="26" t="s">
        <v>96</v>
      </c>
      <c r="G53" s="6" t="s">
        <v>97</v>
      </c>
      <c r="M53" s="1"/>
      <c r="N53" s="1"/>
      <c r="P53" s="1">
        <v>3</v>
      </c>
      <c r="Q53" s="1" t="s">
        <v>89</v>
      </c>
      <c r="R53" s="6">
        <v>3</v>
      </c>
      <c r="S53" s="11"/>
      <c r="T53" s="6" t="s">
        <v>105</v>
      </c>
      <c r="U53" s="6" t="s">
        <v>103</v>
      </c>
      <c r="V53" s="6"/>
      <c r="X53" s="6" t="s">
        <v>61</v>
      </c>
      <c r="Y53" s="11"/>
      <c r="Z53" s="6"/>
      <c r="AA53" s="6"/>
    </row>
    <row r="54" spans="1:27" ht="165" x14ac:dyDescent="0.25">
      <c r="A54" s="6" t="s">
        <v>55</v>
      </c>
      <c r="B54" s="6" t="s">
        <v>177</v>
      </c>
      <c r="C54" s="6" t="s">
        <v>175</v>
      </c>
      <c r="F54" s="34" t="s">
        <v>182</v>
      </c>
      <c r="G54" s="6" t="s">
        <v>188</v>
      </c>
      <c r="H54" s="35">
        <v>2.6</v>
      </c>
      <c r="I54" s="35">
        <v>0.9</v>
      </c>
      <c r="J54" s="35">
        <v>1</v>
      </c>
      <c r="K54" s="35">
        <v>1.5</v>
      </c>
      <c r="L54" s="6">
        <v>1</v>
      </c>
      <c r="M54" s="1" t="s">
        <v>191</v>
      </c>
      <c r="N54" s="1"/>
      <c r="P54" s="1">
        <v>2</v>
      </c>
      <c r="Q54" s="1" t="str">
        <f>VLOOKUP(Table1[[#This Row],[impact category number]],'Impact categories'!B$3:C$8,2)</f>
        <v>Reliable SSBs in technically good condition</v>
      </c>
      <c r="R54" s="6">
        <v>2</v>
      </c>
      <c r="S54" s="11"/>
      <c r="T54" s="6" t="s">
        <v>108</v>
      </c>
      <c r="U54" s="6" t="s">
        <v>102</v>
      </c>
      <c r="V54" s="11"/>
      <c r="X54" s="6" t="s">
        <v>68</v>
      </c>
      <c r="Y54" s="11"/>
      <c r="Z54" s="11"/>
      <c r="AA54" s="6"/>
    </row>
    <row r="55" spans="1:27" ht="150" x14ac:dyDescent="0.25">
      <c r="A55" s="6" t="s">
        <v>55</v>
      </c>
      <c r="B55" s="6" t="s">
        <v>178</v>
      </c>
      <c r="C55" s="6" t="s">
        <v>175</v>
      </c>
      <c r="F55" s="34" t="s">
        <v>183</v>
      </c>
      <c r="G55" s="6" t="s">
        <v>188</v>
      </c>
      <c r="H55" s="35">
        <v>2.3636363636363638</v>
      </c>
      <c r="I55" s="35">
        <v>1.2727272727272727</v>
      </c>
      <c r="J55" s="35">
        <v>1.3636363636363635</v>
      </c>
      <c r="K55" s="35">
        <v>1.2727272727272727</v>
      </c>
      <c r="L55" s="6">
        <v>2</v>
      </c>
      <c r="M55" s="1" t="s">
        <v>193</v>
      </c>
      <c r="N55" s="1"/>
      <c r="P55" s="1">
        <v>2</v>
      </c>
      <c r="Q55" s="1" t="str">
        <f>VLOOKUP(Table1[[#This Row],[impact category number]],'Impact categories'!B$3:C$8,2)</f>
        <v>Reliable SSBs in technically good condition</v>
      </c>
      <c r="R55" s="6">
        <v>2</v>
      </c>
      <c r="S55" s="11"/>
      <c r="T55" s="6" t="s">
        <v>131</v>
      </c>
      <c r="V55" s="11"/>
      <c r="X55" s="6" t="s">
        <v>68</v>
      </c>
      <c r="Y55" s="11"/>
      <c r="Z55" s="11"/>
      <c r="AA55" s="6"/>
    </row>
    <row r="56" spans="1:27" ht="165" x14ac:dyDescent="0.25">
      <c r="A56" s="6" t="s">
        <v>55</v>
      </c>
      <c r="B56" s="6" t="s">
        <v>173</v>
      </c>
      <c r="C56" s="6" t="s">
        <v>175</v>
      </c>
      <c r="D56" s="6" t="s">
        <v>186</v>
      </c>
      <c r="F56" s="10" t="s">
        <v>172</v>
      </c>
      <c r="G56" s="6" t="s">
        <v>188</v>
      </c>
      <c r="H56" s="35">
        <v>2.6363636363636362</v>
      </c>
      <c r="I56" s="35">
        <v>1.1818181818181819</v>
      </c>
      <c r="J56" s="35">
        <v>1.5454545454545454</v>
      </c>
      <c r="K56" s="35">
        <v>1.8181818181818181</v>
      </c>
      <c r="L56" s="6">
        <v>2</v>
      </c>
      <c r="M56" s="1" t="s">
        <v>192</v>
      </c>
      <c r="N56" s="1"/>
      <c r="P56" s="1">
        <v>1</v>
      </c>
      <c r="Q56" s="1" t="str">
        <f>VLOOKUP(Table1[[#This Row],[impact category number]],'Impact categories'!B$3:C$8,2)</f>
        <v>SSBs contribute to satisfying socio-economic and environmental needs in the hinterland</v>
      </c>
      <c r="R56" s="6">
        <v>3</v>
      </c>
      <c r="S56" s="11"/>
      <c r="T56" s="6" t="s">
        <v>132</v>
      </c>
      <c r="U56" s="6" t="s">
        <v>131</v>
      </c>
      <c r="V56" s="6"/>
      <c r="X56" s="6" t="s">
        <v>68</v>
      </c>
      <c r="Y56" s="11"/>
      <c r="Z56" s="6"/>
      <c r="AA56" s="6"/>
    </row>
    <row r="57" spans="1:27" ht="150" x14ac:dyDescent="0.25">
      <c r="A57" s="6" t="s">
        <v>55</v>
      </c>
      <c r="B57" s="6" t="s">
        <v>175</v>
      </c>
      <c r="F57" s="10" t="s">
        <v>174</v>
      </c>
      <c r="G57" s="6" t="s">
        <v>187</v>
      </c>
      <c r="H57" s="35">
        <v>2.8181818181818183</v>
      </c>
      <c r="I57" s="35">
        <v>2.0909090909090908</v>
      </c>
      <c r="J57" s="35">
        <v>1.5454545454545454</v>
      </c>
      <c r="K57" s="35">
        <v>1.9090909090909092</v>
      </c>
      <c r="L57" s="6">
        <v>3</v>
      </c>
      <c r="M57" s="1" t="s">
        <v>189</v>
      </c>
      <c r="N57" s="1"/>
      <c r="P57" s="1">
        <v>1</v>
      </c>
      <c r="Q57" s="1" t="str">
        <f>VLOOKUP(Table1[[#This Row],[impact category number]],'Impact categories'!B$3:C$8,2)</f>
        <v>SSBs contribute to satisfying socio-economic and environmental needs in the hinterland</v>
      </c>
      <c r="R57" s="6">
        <v>3</v>
      </c>
      <c r="S57" s="11"/>
      <c r="T57" s="6" t="s">
        <v>131</v>
      </c>
      <c r="V57" s="11"/>
      <c r="X57" s="6" t="s">
        <v>68</v>
      </c>
      <c r="Y57" s="11"/>
      <c r="Z57" s="11"/>
      <c r="AA57" s="6"/>
    </row>
    <row r="58" spans="1:27" ht="135" x14ac:dyDescent="0.25">
      <c r="A58" s="6" t="s">
        <v>55</v>
      </c>
      <c r="B58" s="6" t="s">
        <v>176</v>
      </c>
      <c r="C58" s="6" t="s">
        <v>175</v>
      </c>
      <c r="F58" s="34" t="s">
        <v>181</v>
      </c>
      <c r="G58" s="6" t="s">
        <v>188</v>
      </c>
      <c r="H58" s="35">
        <v>1.8181818181818181</v>
      </c>
      <c r="I58" s="35">
        <v>0.90909090909090906</v>
      </c>
      <c r="J58" s="35">
        <v>1</v>
      </c>
      <c r="K58" s="35">
        <v>1.0909090909090908</v>
      </c>
      <c r="L58" s="6">
        <v>1</v>
      </c>
      <c r="M58" s="1" t="s">
        <v>190</v>
      </c>
      <c r="N58" s="1"/>
      <c r="P58" s="1">
        <v>1</v>
      </c>
      <c r="Q58" s="1" t="str">
        <f>VLOOKUP(Table1[[#This Row],[impact category number]],'Impact categories'!B$3:C$8,2)</f>
        <v>SSBs contribute to satisfying socio-economic and environmental needs in the hinterland</v>
      </c>
      <c r="R58" s="6">
        <v>2</v>
      </c>
      <c r="S58" s="11"/>
      <c r="T58" s="6" t="s">
        <v>108</v>
      </c>
      <c r="U58" s="6" t="s">
        <v>102</v>
      </c>
      <c r="V58" s="11"/>
      <c r="X58" s="6" t="s">
        <v>68</v>
      </c>
      <c r="Y58" s="11"/>
      <c r="Z58" s="11"/>
      <c r="AA58" s="6"/>
    </row>
    <row r="59" spans="1:27" ht="120" x14ac:dyDescent="0.25">
      <c r="A59" s="6" t="s">
        <v>55</v>
      </c>
      <c r="B59" s="6" t="s">
        <v>179</v>
      </c>
      <c r="C59" s="6" t="s">
        <v>175</v>
      </c>
      <c r="F59" s="34" t="s">
        <v>184</v>
      </c>
      <c r="G59" s="6" t="s">
        <v>188</v>
      </c>
      <c r="H59" s="35">
        <v>2.3636363636363638</v>
      </c>
      <c r="I59" s="35">
        <v>1</v>
      </c>
      <c r="J59" s="35">
        <v>1</v>
      </c>
      <c r="K59" s="35">
        <v>1.0909090909090908</v>
      </c>
      <c r="L59" s="6">
        <v>2</v>
      </c>
      <c r="M59" s="1" t="s">
        <v>194</v>
      </c>
      <c r="N59" s="1"/>
      <c r="P59" s="1">
        <v>3</v>
      </c>
      <c r="Q59" s="1" t="str">
        <f>VLOOKUP(Table1[[#This Row],[impact category number]],'Impact categories'!B$3:C$8,2)</f>
        <v>Well-balanced maintenance and end-of-life decisions for the SSBs by including the system, technical and economical perspective.</v>
      </c>
      <c r="R59" s="6">
        <v>3</v>
      </c>
      <c r="S59" s="11"/>
      <c r="T59" s="6" t="s">
        <v>108</v>
      </c>
      <c r="V59" s="11"/>
      <c r="X59" s="6" t="s">
        <v>68</v>
      </c>
      <c r="Y59" s="11"/>
      <c r="Z59" s="11"/>
      <c r="AA59" s="6"/>
    </row>
    <row r="60" spans="1:27" ht="105" x14ac:dyDescent="0.25">
      <c r="A60" s="6" t="s">
        <v>55</v>
      </c>
      <c r="B60" s="6" t="s">
        <v>180</v>
      </c>
      <c r="C60" s="6" t="s">
        <v>175</v>
      </c>
      <c r="F60" s="34" t="s">
        <v>185</v>
      </c>
      <c r="G60" s="6" t="s">
        <v>188</v>
      </c>
      <c r="H60" s="35">
        <v>2.1818181818181817</v>
      </c>
      <c r="I60" s="35">
        <v>1.3636363636363635</v>
      </c>
      <c r="J60" s="35">
        <v>1.8181818181818181</v>
      </c>
      <c r="K60" s="35">
        <v>1.8181818181818181</v>
      </c>
      <c r="L60" s="6">
        <v>3</v>
      </c>
      <c r="M60" s="1" t="s">
        <v>195</v>
      </c>
      <c r="N60" s="1"/>
      <c r="P60" s="1">
        <v>3</v>
      </c>
      <c r="Q60" s="1" t="str">
        <f>VLOOKUP(Table1[[#This Row],[impact category number]],'Impact categories'!B$3:C$8,2)</f>
        <v>Well-balanced maintenance and end-of-life decisions for the SSBs by including the system, technical and economical perspective.</v>
      </c>
      <c r="R60" s="6">
        <v>3</v>
      </c>
      <c r="S60" s="11"/>
      <c r="T60" s="6" t="s">
        <v>131</v>
      </c>
      <c r="U60" s="6" t="s">
        <v>108</v>
      </c>
      <c r="V60" s="11"/>
      <c r="X60" s="6" t="s">
        <v>68</v>
      </c>
      <c r="Y60" s="11"/>
      <c r="Z60" s="11"/>
      <c r="AA60" s="6"/>
    </row>
    <row r="61" spans="1:27" ht="270" x14ac:dyDescent="0.25">
      <c r="A61" s="6" t="s">
        <v>55</v>
      </c>
      <c r="B61" s="6" t="s">
        <v>115</v>
      </c>
      <c r="F61" s="29" t="s">
        <v>111</v>
      </c>
      <c r="G61" s="1" t="s">
        <v>217</v>
      </c>
      <c r="H61" s="38">
        <v>1.5454545454545454</v>
      </c>
      <c r="I61" s="35">
        <v>1.9090909090909092</v>
      </c>
      <c r="J61" s="37">
        <v>1.6363636363636365</v>
      </c>
      <c r="K61" s="37">
        <v>1</v>
      </c>
      <c r="L61" s="17">
        <v>3</v>
      </c>
      <c r="M61" s="6" t="s">
        <v>226</v>
      </c>
      <c r="N61" s="6"/>
      <c r="O61" s="6"/>
      <c r="P61" s="1">
        <v>1</v>
      </c>
      <c r="Q61" s="1" t="str">
        <f>VLOOKUP(Table1[[#This Row],[impact category number]],'Impact categories'!B$3:C$8,2)</f>
        <v>SSBs contribute to satisfying socio-economic and environmental needs in the hinterland</v>
      </c>
      <c r="R61" s="6">
        <v>3</v>
      </c>
      <c r="S61" s="22"/>
      <c r="T61" s="1" t="s">
        <v>131</v>
      </c>
      <c r="U61" s="6" t="s">
        <v>102</v>
      </c>
      <c r="V61" s="1"/>
      <c r="X61" s="6" t="s">
        <v>69</v>
      </c>
      <c r="Y61" s="11"/>
      <c r="Z61" s="6"/>
      <c r="AA61" s="6"/>
    </row>
    <row r="62" spans="1:27" ht="171" x14ac:dyDescent="0.25">
      <c r="A62" s="6" t="s">
        <v>55</v>
      </c>
      <c r="B62" s="6" t="s">
        <v>116</v>
      </c>
      <c r="D62" s="10"/>
      <c r="F62" s="29" t="s">
        <v>112</v>
      </c>
      <c r="G62" s="30" t="s">
        <v>218</v>
      </c>
      <c r="H62" s="36">
        <v>1.6</v>
      </c>
      <c r="I62" s="35">
        <v>1.3</v>
      </c>
      <c r="J62" s="36">
        <v>1.4</v>
      </c>
      <c r="K62" s="36">
        <v>0.8</v>
      </c>
      <c r="L62" s="16">
        <v>3</v>
      </c>
      <c r="M62" s="6" t="s">
        <v>227</v>
      </c>
      <c r="N62" s="6"/>
      <c r="O62" s="6"/>
      <c r="P62" s="1">
        <v>1</v>
      </c>
      <c r="Q62" s="1" t="str">
        <f>VLOOKUP(Table1[[#This Row],[impact category number]],'Impact categories'!B$3:C$8,2)</f>
        <v>SSBs contribute to satisfying socio-economic and environmental needs in the hinterland</v>
      </c>
      <c r="R62" s="6">
        <v>3</v>
      </c>
      <c r="S62" s="20"/>
      <c r="T62" s="1" t="s">
        <v>131</v>
      </c>
      <c r="U62" s="6" t="s">
        <v>132</v>
      </c>
      <c r="V62" s="1"/>
      <c r="X62" s="6" t="s">
        <v>69</v>
      </c>
      <c r="Y62" s="11"/>
      <c r="Z62" s="6"/>
      <c r="AA62" s="6"/>
    </row>
    <row r="63" spans="1:27" ht="345" x14ac:dyDescent="0.25">
      <c r="A63" s="6" t="s">
        <v>55</v>
      </c>
      <c r="B63" s="6" t="s">
        <v>117</v>
      </c>
      <c r="F63" s="29" t="s">
        <v>113</v>
      </c>
      <c r="G63" s="15" t="s">
        <v>219</v>
      </c>
      <c r="H63" s="35">
        <v>1.6</v>
      </c>
      <c r="I63" s="35">
        <v>1.8</v>
      </c>
      <c r="J63" s="35">
        <v>1.4</v>
      </c>
      <c r="K63" s="35">
        <v>0.6</v>
      </c>
      <c r="L63" s="6">
        <v>3</v>
      </c>
      <c r="M63" s="6" t="s">
        <v>228</v>
      </c>
      <c r="N63" s="6"/>
      <c r="O63" s="6"/>
      <c r="P63" s="1">
        <v>1</v>
      </c>
      <c r="Q63" s="1" t="str">
        <f>VLOOKUP(Table1[[#This Row],[impact category number]],'Impact categories'!B$3:C$8,2)</f>
        <v>SSBs contribute to satisfying socio-economic and environmental needs in the hinterland</v>
      </c>
      <c r="R63" s="6">
        <v>3</v>
      </c>
      <c r="S63" s="11"/>
      <c r="T63" s="1" t="s">
        <v>131</v>
      </c>
      <c r="U63" s="6" t="s">
        <v>132</v>
      </c>
      <c r="V63" s="6"/>
      <c r="X63" s="6" t="s">
        <v>69</v>
      </c>
      <c r="Y63" s="11"/>
      <c r="Z63" s="6"/>
      <c r="AA63" s="6"/>
    </row>
    <row r="64" spans="1:27" ht="384.75" x14ac:dyDescent="0.25">
      <c r="A64" s="6" t="s">
        <v>55</v>
      </c>
      <c r="B64" s="6" t="s">
        <v>118</v>
      </c>
      <c r="F64" s="29" t="s">
        <v>114</v>
      </c>
      <c r="G64" s="30" t="s">
        <v>220</v>
      </c>
      <c r="H64" s="35">
        <v>1.3</v>
      </c>
      <c r="I64" s="35">
        <v>1.5</v>
      </c>
      <c r="J64" s="35">
        <v>1.3</v>
      </c>
      <c r="K64" s="35">
        <v>0.6</v>
      </c>
      <c r="L64" s="6">
        <v>1</v>
      </c>
      <c r="M64" s="6" t="s">
        <v>229</v>
      </c>
      <c r="N64" s="6"/>
      <c r="O64" s="6"/>
      <c r="P64" s="1">
        <v>1</v>
      </c>
      <c r="Q64" s="1" t="str">
        <f>VLOOKUP(Table1[[#This Row],[impact category number]],'Impact categories'!B$3:C$8,2)</f>
        <v>SSBs contribute to satisfying socio-economic and environmental needs in the hinterland</v>
      </c>
      <c r="R64" s="6">
        <v>3</v>
      </c>
      <c r="S64" s="21"/>
      <c r="T64" s="1" t="s">
        <v>132</v>
      </c>
      <c r="U64" s="6" t="s">
        <v>131</v>
      </c>
      <c r="V64" s="6"/>
      <c r="X64" s="6" t="s">
        <v>69</v>
      </c>
      <c r="Y64" s="11"/>
      <c r="Z64" s="6"/>
      <c r="AA64" s="6"/>
    </row>
    <row r="65" spans="29:33" x14ac:dyDescent="0.25">
      <c r="AC65" s="11"/>
      <c r="AG65" s="11"/>
    </row>
    <row r="66" spans="29:33" x14ac:dyDescent="0.25">
      <c r="AC66" s="11"/>
      <c r="AG66" s="11"/>
    </row>
    <row r="67" spans="29:33" x14ac:dyDescent="0.25">
      <c r="AC67" s="11"/>
      <c r="AG67" s="11"/>
    </row>
    <row r="68" spans="29:33" x14ac:dyDescent="0.25">
      <c r="AC68" s="11"/>
      <c r="AG68" s="11"/>
    </row>
    <row r="69" spans="29:33" x14ac:dyDescent="0.25">
      <c r="AG69" s="11"/>
    </row>
    <row r="70" spans="29:33" x14ac:dyDescent="0.25">
      <c r="AG70" s="11"/>
    </row>
    <row r="71" spans="29:33" x14ac:dyDescent="0.25">
      <c r="AG71" s="11"/>
    </row>
    <row r="72" spans="29:33" x14ac:dyDescent="0.25">
      <c r="AG72" s="11"/>
    </row>
    <row r="73" spans="29:33" x14ac:dyDescent="0.25">
      <c r="AG73" s="11"/>
    </row>
    <row r="74" spans="29:33" x14ac:dyDescent="0.25">
      <c r="AG74" s="11"/>
    </row>
    <row r="75" spans="29:33" x14ac:dyDescent="0.25">
      <c r="AG75" s="11"/>
    </row>
    <row r="76" spans="29:33" x14ac:dyDescent="0.25">
      <c r="AG76" s="11"/>
    </row>
    <row r="77" spans="29:33" x14ac:dyDescent="0.25">
      <c r="AG77" s="11"/>
    </row>
    <row r="78" spans="29:33" x14ac:dyDescent="0.25">
      <c r="AG78" s="11"/>
    </row>
  </sheetData>
  <phoneticPr fontId="11" type="noConversion"/>
  <dataValidations count="1">
    <dataValidation type="list" allowBlank="1" showInputMessage="1" showErrorMessage="1" sqref="AC69" xr:uid="{5983F1EF-BF18-4DF6-94AC-DBA923411B25}">
      <formula1>$AF$10:$AF$19</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ErrorMessage="1" xr:uid="{50F7AE27-B5A5-4DF4-8F37-AB3A96638997}">
          <x14:formula1>
            <xm:f>'Impact categories'!$C$3:$C$7</xm:f>
          </x14:formula1>
          <xm:sqref>AB65:AB1048576 S56:S64</xm:sqref>
        </x14:dataValidation>
        <x14:dataValidation type="list" allowBlank="1" showInputMessage="1" showErrorMessage="1" xr:uid="{95C09F80-04F3-40E6-9936-5C165D68DF50}">
          <x14:formula1>
            <xm:f>'Research lines'!$C$3:$C$12</xm:f>
          </x14:formula1>
          <xm:sqref>T3:U64 S65:S1048576 W65:W1048576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6F30B-0C08-4A6F-B335-AACE2BE07D8A}">
  <dimension ref="B2:C12"/>
  <sheetViews>
    <sheetView workbookViewId="0">
      <selection activeCell="C5" sqref="C5"/>
    </sheetView>
  </sheetViews>
  <sheetFormatPr defaultRowHeight="15" x14ac:dyDescent="0.25"/>
  <sheetData>
    <row r="2" spans="2:3" x14ac:dyDescent="0.25">
      <c r="B2" t="s">
        <v>119</v>
      </c>
      <c r="C2" t="s">
        <v>123</v>
      </c>
    </row>
    <row r="3" spans="2:3" x14ac:dyDescent="0.25">
      <c r="B3">
        <v>1</v>
      </c>
      <c r="C3" t="s">
        <v>106</v>
      </c>
    </row>
    <row r="4" spans="2:3" x14ac:dyDescent="0.25">
      <c r="B4">
        <v>2</v>
      </c>
      <c r="C4" t="s">
        <v>129</v>
      </c>
    </row>
    <row r="5" spans="2:3" x14ac:dyDescent="0.25">
      <c r="B5">
        <v>3</v>
      </c>
      <c r="C5" t="s">
        <v>130</v>
      </c>
    </row>
    <row r="6" spans="2:3" x14ac:dyDescent="0.25">
      <c r="B6">
        <v>4</v>
      </c>
      <c r="C6" t="s">
        <v>105</v>
      </c>
    </row>
    <row r="7" spans="2:3" x14ac:dyDescent="0.25">
      <c r="B7">
        <v>5</v>
      </c>
      <c r="C7" t="s">
        <v>134</v>
      </c>
    </row>
    <row r="8" spans="2:3" x14ac:dyDescent="0.25">
      <c r="B8">
        <v>6</v>
      </c>
      <c r="C8" t="s">
        <v>133</v>
      </c>
    </row>
    <row r="9" spans="2:3" x14ac:dyDescent="0.25">
      <c r="B9">
        <v>7</v>
      </c>
      <c r="C9" t="s">
        <v>108</v>
      </c>
    </row>
    <row r="10" spans="2:3" x14ac:dyDescent="0.25">
      <c r="B10">
        <v>8</v>
      </c>
      <c r="C10" t="s">
        <v>131</v>
      </c>
    </row>
    <row r="11" spans="2:3" x14ac:dyDescent="0.25">
      <c r="B11">
        <v>9</v>
      </c>
      <c r="C11" t="s">
        <v>102</v>
      </c>
    </row>
    <row r="12" spans="2:3" x14ac:dyDescent="0.25">
      <c r="B12">
        <v>10</v>
      </c>
      <c r="C12" t="s">
        <v>132</v>
      </c>
    </row>
  </sheetData>
  <dataConsolid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9071-7A10-4169-9F29-277C3AD557FC}">
  <dimension ref="B2:E18"/>
  <sheetViews>
    <sheetView workbookViewId="0">
      <selection activeCell="B3" sqref="B3"/>
    </sheetView>
  </sheetViews>
  <sheetFormatPr defaultRowHeight="15" x14ac:dyDescent="0.25"/>
  <cols>
    <col min="2" max="2" width="16.42578125" bestFit="1" customWidth="1"/>
    <col min="3" max="3" width="28.5703125" customWidth="1"/>
    <col min="4" max="4" width="23.140625" bestFit="1" customWidth="1"/>
    <col min="5" max="5" width="80.28515625" bestFit="1" customWidth="1"/>
  </cols>
  <sheetData>
    <row r="2" spans="2:5" x14ac:dyDescent="0.25">
      <c r="B2" t="s">
        <v>223</v>
      </c>
      <c r="C2" t="s">
        <v>221</v>
      </c>
      <c r="D2" t="s">
        <v>222</v>
      </c>
      <c r="E2" t="s">
        <v>120</v>
      </c>
    </row>
    <row r="3" spans="2:5" x14ac:dyDescent="0.25">
      <c r="C3" s="42" t="s">
        <v>224</v>
      </c>
      <c r="D3">
        <v>1</v>
      </c>
      <c r="E3" t="str">
        <f>VLOOKUP(D3,'Impact categories'!B$2:C$7,2)</f>
        <v>SSBs contribute to satisfying socio-economic and environmental needs in the hinterland</v>
      </c>
    </row>
    <row r="4" spans="2:5" x14ac:dyDescent="0.25">
      <c r="D4">
        <v>1</v>
      </c>
      <c r="E4" t="str">
        <f>VLOOKUP(D4,'Impact categories'!B$2:C$7,2)</f>
        <v>SSBs contribute to satisfying socio-economic and environmental needs in the hinterland</v>
      </c>
    </row>
    <row r="5" spans="2:5" x14ac:dyDescent="0.25">
      <c r="D5">
        <v>1</v>
      </c>
      <c r="E5" t="str">
        <f>VLOOKUP(D5,'Impact categories'!B$2:C$7,2)</f>
        <v>SSBs contribute to satisfying socio-economic and environmental needs in the hinterland</v>
      </c>
    </row>
    <row r="6" spans="2:5" x14ac:dyDescent="0.25">
      <c r="D6">
        <v>2</v>
      </c>
      <c r="E6" t="str">
        <f>VLOOKUP(D6,'Impact categories'!B$2:C$7,2)</f>
        <v>Reliable SSBs in technically good condition</v>
      </c>
    </row>
    <row r="7" spans="2:5" x14ac:dyDescent="0.25">
      <c r="D7">
        <v>2</v>
      </c>
      <c r="E7" t="str">
        <f>VLOOKUP(D7,'Impact categories'!B$2:C$7,2)</f>
        <v>Reliable SSBs in technically good condition</v>
      </c>
    </row>
    <row r="8" spans="2:5" x14ac:dyDescent="0.25">
      <c r="D8">
        <v>2</v>
      </c>
      <c r="E8" t="str">
        <f>VLOOKUP(D8,'Impact categories'!B$2:C$7,2)</f>
        <v>Reliable SSBs in technically good condition</v>
      </c>
    </row>
    <row r="9" spans="2:5" x14ac:dyDescent="0.25">
      <c r="D9">
        <v>3</v>
      </c>
      <c r="E9" t="str">
        <f>VLOOKUP(D9,'Impact categories'!B$2:C$7,2)</f>
        <v>Well-balanced maintenance and end-of-life decisions for the SSBs by including the system, technical and economical perspective.</v>
      </c>
    </row>
    <row r="10" spans="2:5" x14ac:dyDescent="0.25">
      <c r="D10">
        <v>3</v>
      </c>
      <c r="E10" t="str">
        <f>VLOOKUP(D10,'Impact categories'!B$2:C$7,2)</f>
        <v>Well-balanced maintenance and end-of-life decisions for the SSBs by including the system, technical and economical perspective.</v>
      </c>
    </row>
    <row r="11" spans="2:5" x14ac:dyDescent="0.25">
      <c r="E11" t="e">
        <f>VLOOKUP(D11,'Impact categories'!B$2:C$7,2)</f>
        <v>#N/A</v>
      </c>
    </row>
    <row r="12" spans="2:5" x14ac:dyDescent="0.25">
      <c r="E12" t="e">
        <f>VLOOKUP(D12,'Impact categories'!B$2:C$7,2)</f>
        <v>#N/A</v>
      </c>
    </row>
    <row r="13" spans="2:5" x14ac:dyDescent="0.25">
      <c r="E13" t="e">
        <f>VLOOKUP(D13,'Impact categories'!B$2:C$7,2)</f>
        <v>#N/A</v>
      </c>
    </row>
    <row r="14" spans="2:5" x14ac:dyDescent="0.25">
      <c r="E14" t="e">
        <f>VLOOKUP(D14,'Impact categories'!B$2:C$7,2)</f>
        <v>#N/A</v>
      </c>
    </row>
    <row r="15" spans="2:5" x14ac:dyDescent="0.25">
      <c r="E15" t="e">
        <f>VLOOKUP(D15,'Impact categories'!B$2:C$7,2)</f>
        <v>#N/A</v>
      </c>
    </row>
    <row r="16" spans="2:5" x14ac:dyDescent="0.25">
      <c r="E16" t="e">
        <f>VLOOKUP(D16,'Impact categories'!B$2:C$7,2)</f>
        <v>#N/A</v>
      </c>
    </row>
    <row r="17" spans="5:5" x14ac:dyDescent="0.25">
      <c r="E17" t="e">
        <f>VLOOKUP(D17,'Impact categories'!B$2:C$7,2)</f>
        <v>#N/A</v>
      </c>
    </row>
    <row r="18" spans="5:5" x14ac:dyDescent="0.25">
      <c r="E18" t="e">
        <f>VLOOKUP(D18,'Impact categories'!B$2:C$7,2)</f>
        <v>#N/A</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770446D-DCB3-4C0E-8779-23F6CE674DD1}">
          <x14:formula1>
            <xm:f>'Impact categories'!$B$3:$B$7</xm:f>
          </x14:formula1>
          <xm:sqref>D3:D1048576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4AFD-F896-4B27-9161-60BE7F749258}">
  <dimension ref="B2:H13"/>
  <sheetViews>
    <sheetView workbookViewId="0">
      <selection activeCell="B5" sqref="B5"/>
    </sheetView>
  </sheetViews>
  <sheetFormatPr defaultRowHeight="15" x14ac:dyDescent="0.25"/>
  <cols>
    <col min="3" max="3" width="114.42578125" customWidth="1"/>
  </cols>
  <sheetData>
    <row r="2" spans="2:8" x14ac:dyDescent="0.25">
      <c r="B2" t="s">
        <v>119</v>
      </c>
      <c r="C2" t="s">
        <v>120</v>
      </c>
      <c r="D2" t="s">
        <v>121</v>
      </c>
    </row>
    <row r="3" spans="2:8" x14ac:dyDescent="0.25">
      <c r="B3">
        <v>1</v>
      </c>
      <c r="C3" s="2" t="s">
        <v>85</v>
      </c>
      <c r="D3" s="33" t="s">
        <v>124</v>
      </c>
    </row>
    <row r="4" spans="2:8" x14ac:dyDescent="0.25">
      <c r="B4">
        <v>2</v>
      </c>
      <c r="C4" s="2" t="s">
        <v>86</v>
      </c>
      <c r="D4" s="33" t="s">
        <v>125</v>
      </c>
    </row>
    <row r="5" spans="2:8" ht="30" x14ac:dyDescent="0.25">
      <c r="B5">
        <v>3</v>
      </c>
      <c r="C5" s="2" t="s">
        <v>89</v>
      </c>
      <c r="D5" s="33" t="s">
        <v>126</v>
      </c>
    </row>
    <row r="6" spans="2:8" x14ac:dyDescent="0.25">
      <c r="B6">
        <v>4</v>
      </c>
      <c r="C6" s="14" t="s">
        <v>87</v>
      </c>
      <c r="D6" s="33" t="s">
        <v>127</v>
      </c>
    </row>
    <row r="7" spans="2:8" x14ac:dyDescent="0.25">
      <c r="B7">
        <v>5</v>
      </c>
      <c r="C7" s="14" t="s">
        <v>88</v>
      </c>
      <c r="D7" s="33" t="s">
        <v>128</v>
      </c>
    </row>
    <row r="8" spans="2:8" x14ac:dyDescent="0.25">
      <c r="D8" s="23"/>
    </row>
    <row r="13" spans="2:8" x14ac:dyDescent="0.25">
      <c r="H13" s="2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db86161-9697-4497-b787-8dbe88029bc2" xsi:nil="true"/>
    <lcf76f155ced4ddcb4097134ff3c332f xmlns="67a1054d-5936-46ee-9c1d-1714ddbd2c9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F94B6AE6ED7E4A87B975BD711A42C8" ma:contentTypeVersion="10" ma:contentTypeDescription="Create a new document." ma:contentTypeScope="" ma:versionID="f5763a7aa8f2bd7aea3102f8ebabaf15">
  <xsd:schema xmlns:xsd="http://www.w3.org/2001/XMLSchema" xmlns:xs="http://www.w3.org/2001/XMLSchema" xmlns:p="http://schemas.microsoft.com/office/2006/metadata/properties" xmlns:ns2="67a1054d-5936-46ee-9c1d-1714ddbd2c93" xmlns:ns3="3db86161-9697-4497-b787-8dbe88029bc2" targetNamespace="http://schemas.microsoft.com/office/2006/metadata/properties" ma:root="true" ma:fieldsID="53e5851f0c8514dfa1fa7a333d7e002e" ns2:_="" ns3:_="">
    <xsd:import namespace="67a1054d-5936-46ee-9c1d-1714ddbd2c93"/>
    <xsd:import namespace="3db86161-9697-4497-b787-8dbe88029b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a1054d-5936-46ee-9c1d-1714ddbd2c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b92cde-922f-41e6-b057-b97c56e4b7b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b86161-9697-4497-b787-8dbe88029b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48ab25-0845-45ea-a4ee-7768297ebd34}" ma:internalName="TaxCatchAll" ma:showField="CatchAllData" ma:web="3db86161-9697-4497-b787-8dbe88029b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7EA8E7-9F49-4211-BB08-ED8EF39DD0B1}">
  <ds:schemaRefs>
    <ds:schemaRef ds:uri="http://purl.org/dc/elements/1.1/"/>
    <ds:schemaRef ds:uri="3db86161-9697-4497-b787-8dbe88029bc2"/>
    <ds:schemaRef ds:uri="http://purl.org/dc/dcmitype/"/>
    <ds:schemaRef ds:uri="67a1054d-5936-46ee-9c1d-1714ddbd2c93"/>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FA59E53-0119-4740-8271-E9D7B077C030}">
  <ds:schemaRefs>
    <ds:schemaRef ds:uri="http://schemas.microsoft.com/sharepoint/v3/contenttype/forms"/>
  </ds:schemaRefs>
</ds:datastoreItem>
</file>

<file path=customXml/itemProps3.xml><?xml version="1.0" encoding="utf-8"?>
<ds:datastoreItem xmlns:ds="http://schemas.openxmlformats.org/officeDocument/2006/customXml" ds:itemID="{9D61EFD4-C645-43A3-95F6-A17546399D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a1054d-5936-46ee-9c1d-1714ddbd2c93"/>
    <ds:schemaRef ds:uri="3db86161-9697-4497-b787-8dbe88029b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5f3fe0e-d712-4981-bc7c-fe949af215bb}" enabled="0" method="" siteId="{15f3fe0e-d712-4981-bc7c-fe949af215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Research lines</vt:lpstr>
      <vt:lpstr>Outcome categories</vt:lpstr>
      <vt:lpstr>Impact 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ten Harmsen van der Beek</dc:creator>
  <cp:lastModifiedBy>Pieter van Geer</cp:lastModifiedBy>
  <dcterms:created xsi:type="dcterms:W3CDTF">2026-02-09T09:20:14Z</dcterms:created>
  <dcterms:modified xsi:type="dcterms:W3CDTF">2026-03-25T14:21:12Z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0x01010051F94B6AE6ED7E4A87B975BD711A42C8</vt:lpwstr>
  </property>
  <property fmtid="{D5CDD505-2E9C-101B-9397-08002B2CF9AE}" pid="3" name="MediaServiceImageTags">
    <vt:lpwstr/>
  </property>
</Properties>
</file>