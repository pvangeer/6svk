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eltares.sharepoint.com/teams/dlt42161/Shared Documents/"/>
    </mc:Choice>
  </mc:AlternateContent>
  <xr:revisionPtr revIDLastSave="541" documentId="8_{59D5BCFB-ED04-4404-9339-7C8BEA929DFC}" xr6:coauthVersionLast="47" xr6:coauthVersionMax="47" xr10:uidLastSave="{21135B78-F212-4C9E-820B-F8F03CE25AE9}"/>
  <bookViews>
    <workbookView xWindow="28680" yWindow="-120" windowWidth="29040" windowHeight="17520" xr2:uid="{479C864B-AE26-47F0-AFFE-7BF700634394}"/>
  </bookViews>
  <sheets>
    <sheet name="Database"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tc={A152B6BD-D89B-4301-B26E-CBE86ECA7F12}</author>
    <author>tc={9DC46815-39E5-4A68-8329-5E96C11443E2}</author>
    <author>tc={6E1BDD64-D3C4-4808-B389-0559E930CB2E}</author>
    <author>tc={1DAE2514-F84B-4FD9-97F4-DE16AA6626BA}</author>
    <author>tc={140BDC84-868B-4085-9F6E-CFA5B100978C}</author>
    <author>tc={A9301480-85D0-46F0-9178-BE33D6032863}</author>
    <author>tc={6E941F77-B58B-4ECF-AE7D-7F43688683DD}</author>
    <author>tc={BE84A403-8730-48E1-9660-8DA76D15E821}</author>
    <author>tc={CD1EAC3F-9F9A-43E0-A12A-4563CEA1E582}</author>
    <author>tc={AC39E438-FC1B-4EF7-9270-3B42892802E3}</author>
    <author>tc={C094E1DA-9EDE-4CB6-8A11-AD3D8619CF31}</author>
    <author>tc={AF8AAE99-1089-4C56-A887-970EF77E65B6}</author>
    <author>tc={FC1BE57E-0702-49A4-A0F2-ED368221612C}</author>
    <author>tc={3B4F3FF9-6B7C-4904-AF91-2BD2751D7CBB}</author>
    <author>tc={C2D81B23-1DE3-461B-9B34-D2FE4F30FFCB}</author>
    <author>tc={9E1A187F-9A57-4A6B-9069-723E59682B78}</author>
    <author>tc={9C5D9F69-2BFD-46C7-B185-4002AD4467CD}</author>
    <author>tc={23DA1953-E6D1-4519-8A62-A7B517AB9561}</author>
    <author>tc={DD550850-5FA3-4737-A929-137978832A39}</author>
    <author>tc={7AC5D53A-94CD-4110-9905-4E0BE0A7429C}</author>
    <author>tc={0B96FE43-FF4F-44CD-BABC-667065699A07}</author>
    <author>tc={4AC29281-8438-4732-B113-AB6EABBA1607}</author>
    <author>tc={6E105D72-EF86-4BE3-B537-13E6DFC96622}</author>
    <author>tc={96D052EA-8483-4EA0-8055-D3E7D3E3CF30}</author>
    <author>tc={546E488C-FB54-475E-B2F0-F9E7DA35759C}</author>
    <author>tc={0B00617B-8A8C-4509-AB43-BFE4E26D7DA3}</author>
  </authors>
  <commentList>
    <comment ref="M3" authorId="0" shapeId="0" xr:uid="{A152B6BD-D89B-4301-B26E-CBE86ECA7F12}">
      <text>
        <t>[Threaded comment]
Your version of Excel allows you to read this threaded comment; however, any edits to it will get removed if the file is opened in a newer version of Excel. Learn more: https://go.microsoft.com/fwlink/?linkid=870924
Comment:
    Zouden de vragen 1, 2 en 3 ook timeframe 2 kunnen hebben? Dus besluitvorming over de boeggolf projecten? Of gaat dit over grotere besluiten die later komen?</t>
      </text>
    </comment>
    <comment ref="F9" authorId="1" shapeId="0" xr:uid="{9DC46815-39E5-4A68-8329-5E96C11443E2}">
      <text>
        <t>[Threaded comment]
Your version of Excel allows you to read this threaded comment; however, any edits to it will get removed if the file is opened in a newer version of Excel. Learn more: https://go.microsoft.com/fwlink/?linkid=870924
Comment:
    These = decisions for the SSBs? Interdependencies between decisions for the SSB and for the system?</t>
      </text>
    </comment>
    <comment ref="N10" authorId="2" shapeId="0" xr:uid="{6E1BDD64-D3C4-4808-B389-0559E930CB2E}">
      <text>
        <t>[Threaded comment]
Your version of Excel allows you to read this threaded comment; however, any edits to it will get removed if the file is opened in a newer version of Excel. Learn more: https://go.microsoft.com/fwlink/?linkid=870924
Comment:
    Zou deze ook aan kunnen sluiten bij 9. organisatorische aspecten en dan informatiemanagement? Dit lijkt ook te gaan over complexe informatie begrijpelijk maken voor diverse doelgroepen binnen IenW (en breder) en daarmee ook kennismanagement binnen 9.? Of zou dat dan de 3e onderzoekslijn zijn?</t>
      </text>
    </comment>
    <comment ref="N19" authorId="3" shapeId="0" xr:uid="{1DAE2514-F84B-4FD9-97F4-DE16AA6626BA}">
      <text>
        <t xml:space="preserve">[Threaded comment]
Your version of Excel allows you to read this threaded comment; however, any edits to it will get removed if the file is opened in a newer version of Excel. Learn more: https://go.microsoft.com/fwlink/?linkid=870924
Comment:
    Ik weet niet of structural failure onder faalkans of onder constructieve aspecten valt primair. Dat geldt ook voor de vragen 18, 19. Ik zou zelf ook constructief kiezen. Maar laten we deze ook even bij Marit toetsen. </t>
      </text>
    </comment>
    <comment ref="F20" authorId="4" shapeId="0" xr:uid="{140BDC84-868B-4085-9F6E-CFA5B100978C}">
      <text>
        <t>[Threaded comment]
Your version of Excel allows you to read this threaded comment; however, any edits to it will get removed if the file is opened in a newer version of Excel. Learn more: https://go.microsoft.com/fwlink/?linkid=870924
Comment:
    Probability = structural failure probability?</t>
      </text>
    </comment>
    <comment ref="U20" authorId="5" shapeId="0" xr:uid="{A9301480-85D0-46F0-9178-BE33D6032863}">
      <text>
        <t>[Threaded comment]
Your version of Excel allows you to read this threaded comment; however, any edits to it will get removed if the file is opened in a newer version of Excel. Learn more: https://go.microsoft.com/fwlink/?linkid=870924
Comment:
    Bespreken met WP3: dan weglaten uit impact pathway?</t>
      </text>
    </comment>
    <comment ref="O24" authorId="6" shapeId="0" xr:uid="{6E941F77-B58B-4ECF-AE7D-7F43688683DD}">
      <text>
        <t>[Threaded comment]
Your version of Excel allows you to read this threaded comment; however, any edits to it will get removed if the file is opened in a newer version of Excel. Learn more: https://go.microsoft.com/fwlink/?linkid=870924
Comment:
    Aanvullend heb ik 10 geselecteerd. Ok?</t>
      </text>
    </comment>
    <comment ref="N26" authorId="7" shapeId="0" xr:uid="{BE84A403-8730-48E1-9660-8DA76D15E821}">
      <text>
        <t>[Threaded comment]
Your version of Excel allows you to read this threaded comment; however, any edits to it will get removed if the file is opened in a newer version of Excel. Learn more: https://go.microsoft.com/fwlink/?linkid=870924
Comment:
    De vraag is er breed, zullen we hier om toelichting vragen? Gaat dit vooral om monitoring? Van wat?</t>
      </text>
    </comment>
    <comment ref="N27" authorId="8" shapeId="0" xr:uid="{CD1EAC3F-9F9A-43E0-A12A-4563CEA1E582}">
      <text>
        <t xml:space="preserve">[Threaded comment]
Your version of Excel allows you to read this threaded comment; however, any edits to it will get removed if the file is opened in a newer version of Excel. Learn more: https://go.microsoft.com/fwlink/?linkid=870924
Comment:
    Ik zou hier 4. maintenance and operation (wanneer wat op tijd vervangen) en daarnaast 10. remaining lifetime (tipping points) kiezen denk ik. </t>
      </text>
    </comment>
    <comment ref="F28" authorId="9" shapeId="0" xr:uid="{AC39E438-FC1B-4EF7-9270-3B42892802E3}">
      <text>
        <t>[Threaded comment]
Your version of Excel allows you to read this threaded comment; however, any edits to it will get removed if the file is opened in a newer version of Excel. Learn more: https://go.microsoft.com/fwlink/?linkid=870924
Comment:
    Boundary conditions van wat?</t>
      </text>
    </comment>
    <comment ref="O29" authorId="10" shapeId="0" xr:uid="{C094E1DA-9EDE-4CB6-8A11-AD3D8619CF31}">
      <text>
        <t>[Threaded comment]
Your version of Excel allows you to read this threaded comment; however, any edits to it will get removed if the file is opened in a newer version of Excel. Learn more: https://go.microsoft.com/fwlink/?linkid=870924
Comment:
    8 ook toevoegen? Het zou ook nog bij 9 organisatorische aspecten (informatiemanagement, samenwerking met stakeholders) kunnen passen?</t>
      </text>
    </comment>
    <comment ref="N30" authorId="11" shapeId="0" xr:uid="{AF8AAE99-1089-4C56-A887-970EF77E65B6}">
      <text>
        <t>[Threaded comment]
Your version of Excel allows you to read this threaded comment; however, any edits to it will get removed if the file is opened in a newer version of Excel. Learn more: https://go.microsoft.com/fwlink/?linkid=870924
Comment:
    Kan dit ook 8 systeemniveau zijn, dus ook alternatieven van een SSB?</t>
      </text>
    </comment>
    <comment ref="N31" authorId="12" shapeId="0" xr:uid="{FC1BE57E-0702-49A4-A0F2-ED368221612C}">
      <text>
        <t>[Threaded comment]
Your version of Excel allows you to read this threaded comment; however, any edits to it will get removed if the file is opened in a newer version of Excel. Learn more: https://go.microsoft.com/fwlink/?linkid=870924
Comment:
    Ik denk dat ik niet voldoende  begrijp van dit onderzoek om een categorie toe te kunnen voegen. Kan trust in bv RWS leiden tot een verandering van de levensduur?? Ik kan me voorstellen dat cultuur en vertrouwen invloed kan hebben op grote beslissingen over het systeem (bv middels stemmen op een politieke partij), dan 8. Ik kan me ook voorstellen dat RWS haar naam hoog wil houden, dan is het misschien 9? Misschien kunnen we de onderzoeker vragen om ons hierbij te helpen? Of heb jij wel een beter beeld van dit onderzoek?</t>
      </text>
    </comment>
    <comment ref="N33" authorId="13" shapeId="0" xr:uid="{3B4F3FF9-6B7C-4904-AF91-2BD2751D7CBB}">
      <text>
        <t xml:space="preserve">[Threaded comment]
Your version of Excel allows you to read this threaded comment; however, any edits to it will get removed if the file is opened in a newer version of Excel. Learn more: https://go.microsoft.com/fwlink/?linkid=870924
Comment:
    Deze snap ik wel: ik denk dat dit kan bijdragen aan verlengen levensduur, ook als einde economische levensduur bereikt is. </t>
      </text>
    </comment>
    <comment ref="N38" authorId="14" shapeId="0" xr:uid="{C2D81B23-1DE3-461B-9B34-D2FE4F30FFCB}">
      <text>
        <t>[Threaded comment]
Your version of Excel allows you to read this threaded comment; however, any edits to it will get removed if the file is opened in a newer version of Excel. Learn more: https://go.microsoft.com/fwlink/?linkid=870924
Comment:
    Of 7. faalkans?</t>
      </text>
    </comment>
    <comment ref="O39" authorId="15" shapeId="0" xr:uid="{9E1A187F-9A57-4A6B-9069-723E59682B78}">
      <text>
        <t>[Threaded comment]
Your version of Excel allows you to read this threaded comment; however, any edits to it will get removed if the file is opened in a newer version of Excel. Learn more: https://go.microsoft.com/fwlink/?linkid=870924
Comment:
    Hoe?</t>
      </text>
    </comment>
    <comment ref="U40" authorId="16" shapeId="0" xr:uid="{9C5D9F69-2BFD-46C7-B185-4002AD4467CD}">
      <text>
        <t xml:space="preserve">[Threaded comment]
Your version of Excel allows you to read this threaded comment; however, any edits to it will get removed if the file is opened in a newer version of Excel. Learn more: https://go.microsoft.com/fwlink/?linkid=870924
Comment:
    Ja, ik dacht ook direct aan WP2 bij deze vraag. </t>
      </text>
    </comment>
    <comment ref="O42" authorId="17" shapeId="0" xr:uid="{23DA1953-E6D1-4519-8A62-A7B517AB9561}">
      <text>
        <t xml:space="preserve">[Threaded comment]
Your version of Excel allows you to read this threaded comment; however, any edits to it will get removed if the file is opened in a newer version of Excel. Learn more: https://go.microsoft.com/fwlink/?linkid=870924
Comment:
    Ik heb deze toegevoegd, of bedoelen ze niet ook corrosie? Dan deze weghalen. </t>
      </text>
    </comment>
    <comment ref="U42" authorId="18" shapeId="0" xr:uid="{DD550850-5FA3-4737-A929-137978832A39}">
      <text>
        <t>[Threaded comment]
Your version of Excel allows you to read this threaded comment; however, any edits to it will get removed if the file is opened in a newer version of Excel. Learn more: https://go.microsoft.com/fwlink/?linkid=870924
Comment:
    Bespreken met wie dit heeft opgeschreven: weglaten uit impact pathway (mag best blijven staan in het hoofdstuk)?</t>
      </text>
    </comment>
    <comment ref="F45" authorId="19" shapeId="0" xr:uid="{7AC5D53A-94CD-4110-9905-4E0BE0A7429C}">
      <text>
        <t>[Threaded comment]
Your version of Excel allows you to read this threaded comment; however, any edits to it will get removed if the file is opened in a newer version of Excel. Learn more: https://go.microsoft.com/fwlink/?linkid=870924
Comment:
    Ik snap deze vraag niet voldoende. Gaat het om invloed van dredging op de werking van de kering? Wat is de rol van de kering in de vraag?</t>
      </text>
    </comment>
    <comment ref="O48" authorId="20" shapeId="0" xr:uid="{0B96FE43-FF4F-44CD-BABC-667065699A07}">
      <text>
        <t>[Threaded comment]
Your version of Excel allows you to read this threaded comment; however, any edits to it will get removed if the file is opened in a newer version of Excel. Learn more: https://go.microsoft.com/fwlink/?linkid=870924
Comment:
    Ik heb 8. toegevoegd. Dit lijkt ook te gaan over culturele / maatschappelijke haalbaarheid van beslissingen?</t>
      </text>
    </comment>
    <comment ref="N49" authorId="21" shapeId="0" xr:uid="{4AC29281-8438-4732-B113-AB6EABBA1607}">
      <text>
        <t>[Threaded comment]
Your version of Excel allows you to read this threaded comment; however, any edits to it will get removed if the file is opened in a newer version of Excel. Learn more: https://go.microsoft.com/fwlink/?linkid=870924
Comment:
    Check bij Marit: waar nemen we aanpassing van sluitcriteria en sluitregime in mee? Dit is ook effect van de kering op de omgeving, en daarmee levensduur (functionele prestatie)?</t>
      </text>
    </comment>
    <comment ref="N50" authorId="22" shapeId="0" xr:uid="{6E105D72-EF86-4BE3-B537-13E6DFC96622}">
      <text>
        <t xml:space="preserve">[Threaded comment]
Your version of Excel allows you to read this threaded comment; however, any edits to it will get removed if the file is opened in a newer version of Excel. Learn more: https://go.microsoft.com/fwlink/?linkid=870924
Comment:
    Ook voor bespreken met RWS: adaptatie en systeem/barrier afwegingen tijdens de levensduur, waar nemen we die op? Onder levensduur (functionele prestatie) of onder adapatatie systeemniveau (maar wel tijdens de levensduur)? Geldt ook voor de volgende vragen. </t>
      </text>
    </comment>
    <comment ref="F52" authorId="23" shapeId="0" xr:uid="{96D052EA-8483-4EA0-8055-D3E7D3E3CF30}">
      <text>
        <t xml:space="preserve">[Threaded comment]
Your version of Excel allows you to read this threaded comment; however, any edits to it will get removed if the file is opened in a newer version of Excel. Learn more: https://go.microsoft.com/fwlink/?linkid=870924
Comment:
    Wat heeft dit met keuzes voor de SSB te maken? </t>
      </text>
    </comment>
    <comment ref="N55" authorId="24" shapeId="0" xr:uid="{546E488C-FB54-475E-B2F0-F9E7DA35759C}">
      <text>
        <t>[Threaded comment]
Your version of Excel allows you to read this threaded comment; however, any edits to it will get removed if the file is opened in a newer version of Excel. Learn more: https://go.microsoft.com/fwlink/?linkid=870924
Comment:
    Levensduur kiezen?  Dit is echt functionele prestatie</t>
      </text>
    </comment>
    <comment ref="N56" authorId="25" shapeId="0" xr:uid="{0B00617B-8A8C-4509-AB43-BFE4E26D7DA3}">
      <text>
        <t>[Threaded comment]
Your version of Excel allows you to read this threaded comment; however, any edits to it will get removed if the file is opened in a newer version of Excel. Learn more: https://go.microsoft.com/fwlink/?linkid=870924
Comment:
    Kennismanagement en boring over generaties heen</t>
      </text>
    </comment>
  </commentList>
</comments>
</file>

<file path=xl/sharedStrings.xml><?xml version="1.0" encoding="utf-8"?>
<sst xmlns="http://schemas.openxmlformats.org/spreadsheetml/2006/main" count="387" uniqueCount="162">
  <si>
    <t>Code van de kennisvraag bv RP_ET1</t>
  </si>
  <si>
    <t>nummer van de '160 kennisvragenlijst'</t>
  </si>
  <si>
    <t xml:space="preserve">omschrijving van de vraag </t>
  </si>
  <si>
    <t>Impact van het niet weten / beantwoorden van de vraag op overige functies (scheepvaart, ecologie, sedimenttransport etc.). (0 - 3, 0 geen invloed, 3 is zeer grote invloed)</t>
  </si>
  <si>
    <t>Impact van het niet weten / beantwoorden van de vraag op  budget, planning en uitvoering van BenO. (0 - 3, 0 geen invloed, 3 is zeer grote invloed)</t>
  </si>
  <si>
    <t>impact van het niet weten/beantwoorden van de vraag op de operatie van sluiten en openen van de kering door het operationeel team. 1=laag; 2=middel;  3=hoog</t>
  </si>
  <si>
    <t>Wanneer is het antwoord op de kennisvraag nodig? Hierbij zijn 4 categorieen gekozen: 
0=antwoord levert te weinig op, kennisvraag niet oppakken
1= nu; 
2=2033-2040; 
3=&gt;2040</t>
  </si>
  <si>
    <t>Bij welke onderzoekslijn hoort de kennisvraag primair? Keuze uit (zie tabel 'Onderzoekslijnen)</t>
  </si>
  <si>
    <t>Bij welke onderzoekslijn hoort de kennisvraag secundair?  (zie tabel 'Onderzoekslijnen'</t>
  </si>
  <si>
    <t>Toelichting keuze onderzoekslijn (niet voor de database voor nu)</t>
  </si>
  <si>
    <t>Wat is de status van de onderzoekslijn? Wordt dit al opgepakt in een project of programma? Wordt dit een beschrijving of 1 = wordt nog niet opgepakt; 2 = wordt of is gedeelteliik opgepakt; 3=bestaande studie gaat voor de antwoorden zorgen</t>
  </si>
  <si>
    <t>Zeer grove inschatting van de kosten om de kennisvraag te beantwoorden, inclusief materiaalkosten en aanleg indien relevant</t>
  </si>
  <si>
    <t xml:space="preserve">Hoeveel tijd is nodig om de kennisvraag te beantwoorden? Van het starten aan het werken aan de kennisvraag tot eventuele implementatie in het veld. </t>
  </si>
  <si>
    <t>Toelichting status onderzoek (niet voor de database voor nu)</t>
  </si>
  <si>
    <t>Toelichting waar moet het belged worden (niet voor de database voor nu)</t>
  </si>
  <si>
    <t>Toelichting status, kosten en doorlooptijd studie (niet voor de database voor nu)</t>
  </si>
  <si>
    <t xml:space="preserve">Willen we uiteindelijk ook in de database alle literatuur / documenten opnemen met nummering? Voor later. </t>
  </si>
  <si>
    <t>SVK</t>
  </si>
  <si>
    <t>Code</t>
  </si>
  <si>
    <t>link met andere code (indien relevent)</t>
  </si>
  <si>
    <t>kennisvraag nummer</t>
  </si>
  <si>
    <t>keywords kennisvraag</t>
  </si>
  <si>
    <t>Kennisvraag</t>
  </si>
  <si>
    <t>Toelichting kennisvraag</t>
  </si>
  <si>
    <t>Prioriteit: Functie waterveiligheid (uitgedrukt in faalkans)</t>
  </si>
  <si>
    <t>Prioriteit: Functies (anders dan waterveiligheid)</t>
  </si>
  <si>
    <t xml:space="preserve">Prioriteit: BenO (budget, planning en uitvoering) </t>
  </si>
  <si>
    <t>Prioriteit: Operatie (OT)</t>
  </si>
  <si>
    <t xml:space="preserve">Tijd </t>
  </si>
  <si>
    <t>Onderzoekslijn eerste keus</t>
  </si>
  <si>
    <t>Onderzoekslijn tweede keus (indien nodig)</t>
  </si>
  <si>
    <t>toelichting tijd / wanneer antwoord nodig</t>
  </si>
  <si>
    <t>toelichting onderzoekslijn</t>
  </si>
  <si>
    <t>status</t>
  </si>
  <si>
    <t>Waar belegd</t>
  </si>
  <si>
    <t>kosten [euro]</t>
  </si>
  <si>
    <t>doorlooptijd [jaren]</t>
  </si>
  <si>
    <t>Toelichting status onderzoek (niet voor de database)</t>
  </si>
  <si>
    <t>Toelichting waar moet het belged worden</t>
  </si>
  <si>
    <t>Toelichting kosten en doorlooptijd studie (niet voor de database)</t>
  </si>
  <si>
    <t>relevante documenten</t>
  </si>
  <si>
    <t>1. Constructieve aspecten</t>
  </si>
  <si>
    <t xml:space="preserve">10. Restlevensduur huidige objecten </t>
  </si>
  <si>
    <t>2. Besturingssystemen / IA</t>
  </si>
  <si>
    <t>7. Faalkans</t>
  </si>
  <si>
    <t>Onderzoekslijnen</t>
  </si>
  <si>
    <t>Onderhoudsvragen</t>
  </si>
  <si>
    <t xml:space="preserve">Opmerkingen:
1. Waar valt optimaliseren sluitregime onder? Bv hoe stroming meenemen in sluitregime, of anders meten en monitoren voor bepalen wel/geen sluiting. Valt onder 4 Onderhoud en Operatie </t>
  </si>
  <si>
    <t>3. Voorzieningen en gebouwen</t>
  </si>
  <si>
    <t>4. Onderhoud en operatie</t>
  </si>
  <si>
    <t>5. Cyber &amp; security</t>
  </si>
  <si>
    <t>Voldoen aan veranderende eisen</t>
  </si>
  <si>
    <t>6. Hydrodynamische effecten en belastingen</t>
  </si>
  <si>
    <t>8. Adaptatie systeemniveau</t>
  </si>
  <si>
    <t>9. Organisatorische aspecten</t>
  </si>
  <si>
    <t>Bedrijfskundige en bestuurskundige uitdagingen</t>
  </si>
  <si>
    <t xml:space="preserve">What are key uncertainties, ambiguities and tensions in the governance of SSBs? </t>
  </si>
  <si>
    <t>What governance mechanisms facilitate collaborative decision-making of SSBs?</t>
  </si>
  <si>
    <t>What are suitable tools and methods that can support the governance of SSBs?</t>
  </si>
  <si>
    <t>2.1</t>
  </si>
  <si>
    <t>How can we support adaptation decision-making under uncertain changing conditions for storm surge barriers including the wider delta using a pathways-approach?</t>
  </si>
  <si>
    <t xml:space="preserve">How can we connect storm surge barrier functioning with objectives and adaptation in the wider delta system in a changing climate and socio-economic context? </t>
  </si>
  <si>
    <t xml:space="preserve">How to nest decisions for the SSBs in the wider delta system adaptive pathways, and identify pivotal decisions? </t>
  </si>
  <si>
    <t xml:space="preserve">How can we quantify these decisions, the relevance of interdependencies, and the impact on the wider delta system? </t>
  </si>
  <si>
    <t>2.2</t>
  </si>
  <si>
    <t xml:space="preserve">How to support decision-makers in navigating the resulting complexity of interdependent delta system and storm surge barrier elements under deep uncertainty and ambiguity? </t>
  </si>
  <si>
    <t>How and why are the current maintenance plans established, which decision structures are currently active and how do they operate?</t>
  </si>
  <si>
    <t>Which influences from outside affect the operation and maintenance of storm surge barriers?</t>
  </si>
  <si>
    <t>What tools or methods are suitable for a decision framework that facilitates a dynamic asset planning?</t>
  </si>
  <si>
    <t xml:space="preserve">How to apply the decision framework to real SSB case study to arrive at a dynamic asset planning? </t>
  </si>
  <si>
    <t>2.3</t>
  </si>
  <si>
    <t>How can a decision framework be developed for the maintenance planning of storm surge barriers, considering an uncertain internal and external context?</t>
  </si>
  <si>
    <t>How to grasp organisational decision structures?</t>
  </si>
  <si>
    <t>How to translate complex decision-making mechanisms to decision making frameworks and/or algorithms that facilitate dynamic maintenance planning?</t>
  </si>
  <si>
    <t>We need a convincing case to demonstrate how to arrive at a dynamic asset planning for major maintenance to gain support for outcome and impact.</t>
  </si>
  <si>
    <t>How to identify outside influences and their impact for SSB maintenance? How to include adaptive delta system planning?</t>
  </si>
  <si>
    <t>How do (extreme) local hydraulic loads on the barriers, consisting of water levels, short wave loads (Eastern Scheldt Barrier), and the long wave loads like seiches (Maeslant Barrier), change with changing climate and maintenance/adaptation of the barrier?</t>
  </si>
  <si>
    <t>What is the structural response of the storm surge barrier to the above hydraulic loads? What are the weakest links and how would the (adapted) barrier respond in more extreme conditions?</t>
  </si>
  <si>
    <t xml:space="preserve"> How to quantify the structural reliability of the storm surge barrier accurately under these changing conditions and thereby reduce conservatism?</t>
  </si>
  <si>
    <t>ESB, MLB</t>
  </si>
  <si>
    <t>6SSB</t>
  </si>
  <si>
    <t>What is the structural failure probability of the barrier?</t>
  </si>
  <si>
    <t>How can the structure (or assessment) be adapted such that the probability decreases . (measure to update an insufficient barrier).</t>
  </si>
  <si>
    <t>How to quantify and analyse time-dependent influences on the structural failure probability? Including the influence of material deteriorations.</t>
  </si>
  <si>
    <t>Does the barrier, including possible failures to close, provide sufficient (statistical) protection of the hinterland from high water levels.</t>
  </si>
  <si>
    <t>Which barrier elements/processes contribute most to the closure failure probability and how could those be optimised to reduce that probability?</t>
  </si>
  <si>
    <t>How can we monitor the structural performance?</t>
  </si>
  <si>
    <t>How can monitoring be used to evaluate deviations from design assumptions, modeled scenarios, and adaptation pathways, enabling timely adjustment of maintenance and adaptation actions?</t>
  </si>
  <si>
    <t>How do changes in boundary conditions affect structural response, condition, and the interpretation of monitoring outcomes?</t>
  </si>
  <si>
    <t>Not included</t>
  </si>
  <si>
    <t>Structural failure probability needs to remain below critical level mentioned in the law</t>
  </si>
  <si>
    <t>Limited insight into actual structural performance and condition over time</t>
  </si>
  <si>
    <t>Limited ability to assess evolving structural condition (and models thereof) relevant for maintenance and adaptation decisions</t>
  </si>
  <si>
    <t>Changing environmental and operational conditions affecting barrier performance</t>
  </si>
  <si>
    <t>Which main barrier parts (could) contribute most to the structural failure probability and/or are expected to reach end-of-lifetime* first? (ESB: the gates, MLB: retaining walls, combi-walls)</t>
  </si>
  <si>
    <t>3.3</t>
  </si>
  <si>
    <t>3.1</t>
  </si>
  <si>
    <t>What is the critical loading on the critical barrier elements and how can that best be quantified? ( ESB: wave forces on the gates, MLB: head differences and negative head)</t>
  </si>
  <si>
    <t>3.2</t>
  </si>
  <si>
    <t>4.2</t>
  </si>
  <si>
    <t>All WPs --&gt;3?</t>
  </si>
  <si>
    <t>The water safety performance needs to comply with the law. ( The ESB is assessed with the prestatiepeilen-model, and the MLB not closing when a closure is required needs to remain below 1%, which is difficult for the complicated closure procedure.)</t>
  </si>
  <si>
    <t>What is the level of public support for different storm surge barrier adaptation scenarios, and what socio-psychological determinants shape this support?</t>
  </si>
  <si>
    <t>How are public preferences and levels of support distributed across alternative SSB adaptation scenarios?</t>
  </si>
  <si>
    <t>How do trust in institutions, affective responses, and outcome expectancies shape public support for SSB adaptation scenarios?</t>
  </si>
  <si>
    <t xml:space="preserve">How do perceptions of risk, distributive justice (intragenerational and intergenerational) and uncertainty about future sea level rise shape public support for SSB adaptation scenarios? </t>
  </si>
  <si>
    <t>To what extent does attachment to existing places and to the storm surge barriers as iconic structures shape support for SSB adaptation scenarios?</t>
  </si>
  <si>
    <t>4.3</t>
  </si>
  <si>
    <t>How to quantify the change in functional performance of the barrier?</t>
  </si>
  <si>
    <t>What does an increased closing frequency combined with SLR mean for flood risk management?</t>
  </si>
  <si>
    <t>What does an increased closing frequency combined with SLR mean for the intertidal areas?</t>
  </si>
  <si>
    <t>How does SLR affect future maintenance in SSB’s and what does that mean for their lifetime.</t>
  </si>
  <si>
    <t>How to predict future flood risk?</t>
  </si>
  <si>
    <t>How do fluvial floods affect closure frequency?</t>
  </si>
  <si>
    <t xml:space="preserve">How to systematically assess SSB decisions under broad delta decisions? </t>
  </si>
  <si>
    <t>4.1</t>
  </si>
  <si>
    <t xml:space="preserve">Uncertain how SLR influences the functional performance of the barrier </t>
  </si>
  <si>
    <t>4? --&gt; 2.3?</t>
  </si>
  <si>
    <t>4?</t>
  </si>
  <si>
    <t>4? --&gt; 2.1?</t>
  </si>
  <si>
    <t>Uncertain how river (flood) discharge divisions change</t>
  </si>
  <si>
    <t>Uncertain how broad delta decisions (meebewegen/beschermen) affect storm surge barrier decisions</t>
  </si>
  <si>
    <t>How do barriers affect channel and delta morphology?</t>
  </si>
  <si>
    <t>Are further channel scours, erosion hotspots expected? (Future turbidity related to SLR and barrier functioning, channel stability)</t>
  </si>
  <si>
    <t>Will water quality/salinity affect SSB operations/maintenance/end-of-life?</t>
  </si>
  <si>
    <t>How to asses how SSB operation in future delta scenarios and future delta scenarios in general affect Shipping</t>
  </si>
  <si>
    <t>How to identify tipping points for SSB functional performance without assessing everything? (impact on water quality, biodiversity/ecology)</t>
  </si>
  <si>
    <t>What are the implications of dredging on flood risk?</t>
  </si>
  <si>
    <t>How can technical changes in SSB change flood risk, and how can this be assessed correctly</t>
  </si>
  <si>
    <t>What functions/stakeholders/sectors should the SSBs and water system support in the future</t>
  </si>
  <si>
    <t>How do public and political perspectives on SSB adaptation align or diverge, and what are implications for decision-making?</t>
  </si>
  <si>
    <t>3 and 4</t>
  </si>
  <si>
    <t>1. 2 and 4</t>
  </si>
  <si>
    <t>2 and 4</t>
  </si>
  <si>
    <t>Impact categories</t>
  </si>
  <si>
    <t>SSBs contribute to satisfying socio-economic and environmental needs in the hinterland</t>
  </si>
  <si>
    <t>Reliable SSBs in technically good condition</t>
  </si>
  <si>
    <t>Human capital for a safe and liveable delta</t>
  </si>
  <si>
    <t>The Dutch Delta is an example how to deal with climate change in low-lying delta countries and the Dutch water sector remains a frontrunner</t>
  </si>
  <si>
    <t>Well-balanced maintenance and end-of-life decisions for the SSBs by including the system, technical and economical perspective.</t>
  </si>
  <si>
    <t>impact category</t>
  </si>
  <si>
    <t>Detailed knowledge question / scope specification</t>
  </si>
  <si>
    <t>What are the hydraulic loads on dikes around Eastern Scheldt when the closure level is increased?</t>
  </si>
  <si>
    <t>What is the required dike reinforcement (spatial footprint) and costs in combination with the SSB strategy?</t>
  </si>
  <si>
    <t>What is the erosion of tidal flats?</t>
  </si>
  <si>
    <t>What is the water quality due to water temperature increase?</t>
  </si>
  <si>
    <t xml:space="preserve">ESB </t>
  </si>
  <si>
    <t>ESB</t>
  </si>
  <si>
    <t>What is the impact on areas that are unprotected  (‘buitendijks’) given an increase in closure level?</t>
  </si>
  <si>
    <t>What is the impact on dike stability and upkeep requirements given an increase in closure level?</t>
  </si>
  <si>
    <t>What is the impact of an increase in closure frequency on shipping?</t>
  </si>
  <si>
    <t>Shallower channels, erosion</t>
  </si>
  <si>
    <t>What is the level of support/opposition for ESB adaptation scenarios. And what explains support/opposition?</t>
  </si>
  <si>
    <t>How does public support for adaptation scenarios vary across time and space?</t>
  </si>
  <si>
    <t>How are (or should?) costs and benefits of adaptation distributed among societal stakeholders and current/future generations?</t>
  </si>
  <si>
    <t>Results will be shared via the I-STORM network. Project partners contintue to use and develop the tools and methods, and apply these to international cases.</t>
  </si>
  <si>
    <t>BSc and MSc projects, and an interdisciplinary summer school</t>
  </si>
  <si>
    <t>Is dit een kennisvraag voor een specifieke kering of voor alle SVK? 6SSB (overkoepelende vraag voor de 6 stormvloedkeringen), ESB, MSB</t>
  </si>
  <si>
    <t>Impact van het niet weten / beantwoorden van de vraag op de functie waterveiligheid. 0=geen invloed; 1=laag; 2=middel;  3=hoog</t>
  </si>
  <si>
    <t>In welk WP van SSB Delta?</t>
  </si>
  <si>
    <t>beter om te nummeren / makkelijker matchen + toeliching impact</t>
  </si>
  <si>
    <t>toelichting prioriteit / 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</si>
</sst>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0"/>
      <color theme="1"/>
      <name val="Arial"/>
      <family val="2"/>
    </font>
    <font>
      <sz val="11"/>
      <color rgb="FF000000"/>
      <name val="Aptos Narrow"/>
      <family val="2"/>
    </font>
    <font>
      <sz val="11"/>
      <color rgb="FF000000"/>
      <name val="Aptos Narrow"/>
      <family val="2"/>
      <scheme val="minor"/>
    </font>
    <font>
      <sz val="11"/>
      <name val="Aptos Narrow"/>
      <family val="2"/>
    </font>
    <font>
      <sz val="11"/>
      <color theme="1"/>
      <name val="Aptos Narrow"/>
      <family val="2"/>
    </font>
    <font>
      <sz val="11"/>
      <color rgb="FFFF0000"/>
      <name val="Aptos Narrow"/>
      <family val="2"/>
    </font>
    <font>
      <b/>
      <sz val="11"/>
      <name val="Aptos Narrow"/>
      <family val="2"/>
      <scheme val="minor"/>
    </font>
    <font>
      <sz val="8"/>
      <name val="Aptos Narrow"/>
      <family val="2"/>
      <scheme val="minor"/>
    </font>
    <font>
      <sz val="11"/>
      <color theme="0" tint="-0.499984740745262"/>
      <name val="Aptos Narrow"/>
      <family val="2"/>
      <scheme val="minor"/>
    </font>
  </fonts>
  <fills count="11">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rgb="FF002060"/>
        <bgColor indexed="64"/>
      </patternFill>
    </fill>
    <fill>
      <patternFill patternType="solid">
        <fgColor theme="5" tint="0.59999389629810485"/>
        <bgColor indexed="64"/>
      </patternFill>
    </fill>
    <fill>
      <patternFill patternType="solid">
        <fgColor rgb="FF92D050"/>
        <bgColor indexed="64"/>
      </patternFill>
    </fill>
    <fill>
      <patternFill patternType="solid">
        <fgColor theme="6" tint="-0.249977111117893"/>
        <bgColor indexed="64"/>
      </patternFill>
    </fill>
    <fill>
      <patternFill patternType="solid">
        <fgColor theme="9" tint="-0.499984740745262"/>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0" fillId="0" borderId="0" xfId="0"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0" fillId="2" borderId="0" xfId="0" applyFill="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xf>
    <xf numFmtId="0" fontId="3" fillId="3" borderId="0" xfId="0" applyFont="1" applyFill="1" applyAlignment="1">
      <alignment horizontal="left" vertical="top"/>
    </xf>
    <xf numFmtId="0" fontId="3" fillId="3" borderId="0" xfId="0" applyFont="1" applyFill="1" applyAlignment="1">
      <alignment horizontal="left" vertical="top" wrapText="1"/>
    </xf>
    <xf numFmtId="0" fontId="4" fillId="4" borderId="0" xfId="0" applyFont="1" applyFill="1" applyAlignment="1">
      <alignment horizontal="left" vertical="top"/>
    </xf>
    <xf numFmtId="0" fontId="3" fillId="5" borderId="0" xfId="0" applyFont="1" applyFill="1" applyAlignment="1">
      <alignment horizontal="left" vertical="top" wrapText="1"/>
    </xf>
    <xf numFmtId="0" fontId="4" fillId="4" borderId="0" xfId="0" applyFont="1" applyFill="1" applyAlignment="1">
      <alignment horizontal="left" vertical="top" wrapText="1"/>
    </xf>
    <xf numFmtId="0" fontId="0" fillId="4" borderId="0" xfId="0" applyFill="1" applyAlignment="1">
      <alignment horizontal="left" vertical="top" wrapText="1"/>
    </xf>
    <xf numFmtId="0" fontId="6" fillId="0" borderId="0" xfId="0" applyFont="1" applyAlignment="1">
      <alignment horizontal="left" vertical="top" wrapText="1"/>
    </xf>
    <xf numFmtId="3" fontId="0" fillId="0" borderId="0" xfId="0" applyNumberFormat="1" applyAlignment="1">
      <alignment horizontal="left" vertical="top"/>
    </xf>
    <xf numFmtId="0" fontId="7" fillId="0" borderId="0" xfId="0" applyFont="1" applyAlignment="1">
      <alignment horizontal="left" vertical="top" wrapText="1"/>
    </xf>
    <xf numFmtId="0" fontId="8" fillId="0" borderId="0" xfId="0" applyFont="1" applyAlignment="1">
      <alignment vertical="top" wrapText="1"/>
    </xf>
    <xf numFmtId="0" fontId="4" fillId="0" borderId="0" xfId="0" applyFont="1" applyAlignment="1">
      <alignment horizontal="left" vertical="top"/>
    </xf>
    <xf numFmtId="0" fontId="8" fillId="0" borderId="0" xfId="0" applyFont="1" applyAlignment="1">
      <alignment horizontal="left" vertical="top" wrapText="1"/>
    </xf>
    <xf numFmtId="0" fontId="6" fillId="0" borderId="0" xfId="0" applyFont="1" applyAlignment="1">
      <alignment horizontal="left" vertical="top"/>
    </xf>
    <xf numFmtId="0" fontId="9" fillId="0" borderId="0" xfId="0" applyFont="1" applyAlignment="1">
      <alignment horizontal="left" vertical="top" wrapText="1"/>
    </xf>
    <xf numFmtId="0" fontId="2" fillId="0" borderId="0" xfId="0" applyFont="1" applyAlignment="1">
      <alignment horizontal="left" vertical="top"/>
    </xf>
    <xf numFmtId="0" fontId="0" fillId="6" borderId="1" xfId="0" applyFill="1" applyBorder="1" applyAlignment="1">
      <alignment horizontal="left" vertical="top"/>
    </xf>
    <xf numFmtId="0" fontId="1" fillId="0" borderId="0" xfId="0" applyFont="1" applyAlignment="1">
      <alignment horizontal="left" vertical="top"/>
    </xf>
    <xf numFmtId="0" fontId="9" fillId="0" borderId="0" xfId="0" applyFont="1" applyAlignment="1">
      <alignment horizontal="left" vertical="top"/>
    </xf>
    <xf numFmtId="0" fontId="0" fillId="7" borderId="1" xfId="0" applyFill="1" applyBorder="1" applyAlignment="1">
      <alignment horizontal="left" vertical="top"/>
    </xf>
    <xf numFmtId="0" fontId="3" fillId="8" borderId="1" xfId="0" applyFont="1" applyFill="1" applyBorder="1" applyAlignment="1">
      <alignment horizontal="left" vertical="top"/>
    </xf>
    <xf numFmtId="0" fontId="3" fillId="0" borderId="0" xfId="0" applyFont="1" applyAlignment="1">
      <alignment horizontal="left" vertical="top"/>
    </xf>
    <xf numFmtId="0" fontId="6" fillId="0" borderId="0" xfId="0" applyFont="1"/>
    <xf numFmtId="3" fontId="0" fillId="0" borderId="0" xfId="0" applyNumberFormat="1" applyAlignment="1">
      <alignment horizontal="left" vertical="top" wrapText="1"/>
    </xf>
    <xf numFmtId="0" fontId="8" fillId="0" borderId="0" xfId="0" applyFont="1" applyAlignment="1">
      <alignment horizontal="left" vertical="top"/>
    </xf>
    <xf numFmtId="0" fontId="6" fillId="0" borderId="0" xfId="0" applyFont="1" applyAlignment="1">
      <alignment wrapText="1"/>
    </xf>
    <xf numFmtId="0" fontId="5" fillId="0" borderId="0" xfId="0" applyFont="1" applyAlignment="1">
      <alignment vertical="center"/>
    </xf>
    <xf numFmtId="0" fontId="11" fillId="0" borderId="0" xfId="0" applyFont="1" applyAlignment="1">
      <alignment horizontal="left" vertical="top"/>
    </xf>
    <xf numFmtId="0" fontId="13" fillId="0" borderId="0" xfId="0" applyFont="1" applyAlignment="1">
      <alignment horizontal="left" vertical="top"/>
    </xf>
    <xf numFmtId="0" fontId="10" fillId="0" borderId="0" xfId="0" applyFont="1" applyAlignment="1">
      <alignment horizontal="left" vertical="top" wrapText="1"/>
    </xf>
    <xf numFmtId="0" fontId="0" fillId="0" borderId="0" xfId="0" applyAlignment="1">
      <alignment vertical="top" wrapText="1"/>
    </xf>
    <xf numFmtId="3" fontId="6" fillId="0" borderId="0" xfId="0" applyNumberFormat="1" applyFont="1" applyAlignment="1">
      <alignment horizontal="left" vertical="top"/>
    </xf>
    <xf numFmtId="0" fontId="3" fillId="10" borderId="0" xfId="0" applyFont="1" applyFill="1" applyAlignment="1">
      <alignment horizontal="left" vertical="top" wrapText="1"/>
    </xf>
    <xf numFmtId="0" fontId="0" fillId="6" borderId="1" xfId="0" applyFill="1" applyBorder="1" applyAlignment="1">
      <alignment horizontal="left" vertical="top"/>
    </xf>
    <xf numFmtId="0" fontId="0" fillId="7" borderId="1" xfId="0" applyFill="1" applyBorder="1" applyAlignment="1">
      <alignment horizontal="left" vertical="top"/>
    </xf>
    <xf numFmtId="0" fontId="3" fillId="9" borderId="1" xfId="0" applyFont="1" applyFill="1" applyBorder="1" applyAlignment="1">
      <alignment horizontal="left" vertical="top"/>
    </xf>
  </cellXfs>
  <cellStyles count="1">
    <cellStyle name="Normal" xfId="0" builtinId="0"/>
  </cellStyles>
  <dxfs count="24">
    <dxf>
      <alignment horizontal="left" vertical="top" textRotation="0" wrapText="0" indent="0" justifyLastLine="0" shrinkToFit="0" readingOrder="0"/>
    </dxf>
    <dxf>
      <numFmt numFmtId="3" formatCode="#,##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3" formatCode="#,##0"/>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51</xdr:col>
      <xdr:colOff>13876</xdr:colOff>
      <xdr:row>2</xdr:row>
      <xdr:rowOff>0</xdr:rowOff>
    </xdr:from>
    <xdr:to>
      <xdr:col>66</xdr:col>
      <xdr:colOff>4329</xdr:colOff>
      <xdr:row>36</xdr:row>
      <xdr:rowOff>122464</xdr:rowOff>
    </xdr:to>
    <xdr:pic>
      <xdr:nvPicPr>
        <xdr:cNvPr id="2" name="Graphic 1">
          <a:extLst>
            <a:ext uri="{FF2B5EF4-FFF2-40B4-BE49-F238E27FC236}">
              <a16:creationId xmlns:a16="http://schemas.microsoft.com/office/drawing/2014/main" id="{8C290BB1-D708-49D3-8507-4959ABED6E71}"/>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323" t="25371"/>
        <a:stretch>
          <a:fillRect/>
        </a:stretch>
      </xdr:blipFill>
      <xdr:spPr bwMode="auto">
        <a:xfrm>
          <a:off x="65809401" y="1123950"/>
          <a:ext cx="9283678" cy="222331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30</xdr:col>
      <xdr:colOff>98778</xdr:colOff>
      <xdr:row>2</xdr:row>
      <xdr:rowOff>804333</xdr:rowOff>
    </xdr:from>
    <xdr:to>
      <xdr:col>46</xdr:col>
      <xdr:colOff>483136</xdr:colOff>
      <xdr:row>13</xdr:row>
      <xdr:rowOff>435979</xdr:rowOff>
    </xdr:to>
    <xdr:pic>
      <xdr:nvPicPr>
        <xdr:cNvPr id="3" name="Picture 2">
          <a:extLst>
            <a:ext uri="{FF2B5EF4-FFF2-40B4-BE49-F238E27FC236}">
              <a16:creationId xmlns:a16="http://schemas.microsoft.com/office/drawing/2014/main" id="{42251F60-9C21-4250-8865-A45A50ED5452}"/>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596" t="14083" r="1013" b="11246"/>
        <a:stretch>
          <a:fillRect/>
        </a:stretch>
      </xdr:blipFill>
      <xdr:spPr bwMode="auto">
        <a:xfrm>
          <a:off x="52899028" y="1931458"/>
          <a:ext cx="10290358" cy="70674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30</xdr:col>
      <xdr:colOff>292434</xdr:colOff>
      <xdr:row>19</xdr:row>
      <xdr:rowOff>518026</xdr:rowOff>
    </xdr:from>
    <xdr:to>
      <xdr:col>48</xdr:col>
      <xdr:colOff>393880</xdr:colOff>
      <xdr:row>30</xdr:row>
      <xdr:rowOff>203396</xdr:rowOff>
    </xdr:to>
    <xdr:pic>
      <xdr:nvPicPr>
        <xdr:cNvPr id="4" name="Picture 3">
          <a:extLst>
            <a:ext uri="{FF2B5EF4-FFF2-40B4-BE49-F238E27FC236}">
              <a16:creationId xmlns:a16="http://schemas.microsoft.com/office/drawing/2014/main" id="{BDF1096C-8005-6A8F-3EF3-CC8F506AF95D}"/>
            </a:ext>
          </a:extLst>
        </xdr:cNvPr>
        <xdr:cNvPicPr>
          <a:picLocks noChangeAspect="1"/>
        </xdr:cNvPicPr>
      </xdr:nvPicPr>
      <xdr:blipFill>
        <a:blip xmlns:r="http://schemas.openxmlformats.org/officeDocument/2006/relationships" r:embed="rId3"/>
        <a:stretch>
          <a:fillRect/>
        </a:stretch>
      </xdr:blipFill>
      <xdr:spPr>
        <a:xfrm>
          <a:off x="58988158" y="11613815"/>
          <a:ext cx="10773123" cy="634606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sther van Baaren" id="{370043A5-8BD3-4E9B-91CD-C7DEAA119115}" userId="S::Esther.vanBaaren@deltares.nl::e5ae2957-28e7-4d9d-a847-c7691742eaf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2D8FF9-5D52-4C1A-AF6C-2F9236DE1C73}" name="Table1" displayName="Table1" ref="A2:W58" totalsRowShown="0" headerRowDxfId="23" dataDxfId="22">
  <autoFilter ref="A2:W58" xr:uid="{A04CDD2F-2F03-4855-9D9F-7C0400519C09}"/>
  <sortState xmlns:xlrd2="http://schemas.microsoft.com/office/spreadsheetml/2017/richdata2" ref="A3:W58">
    <sortCondition ref="B2:B58"/>
  </sortState>
  <tableColumns count="23">
    <tableColumn id="1" xr3:uid="{7B7E007C-A484-4326-8B70-8A07804DFB01}" name="SVK" dataDxfId="21"/>
    <tableColumn id="2" xr3:uid="{4D5CA00A-DE91-4D91-911E-CB6B3AE0D546}" name="Code" dataDxfId="20"/>
    <tableColumn id="3" xr3:uid="{695444B2-819A-4C07-9A0D-8276FE6FF693}" name="link met andere code (indien relevent)" dataDxfId="19"/>
    <tableColumn id="4" xr3:uid="{16574D2E-3F35-4500-9188-1F7E6B814081}" name="kennisvraag nummer" dataDxfId="18"/>
    <tableColumn id="5" xr3:uid="{2753C089-2109-40AD-AFEA-95EE1B566901}" name="keywords kennisvraag" dataDxfId="17"/>
    <tableColumn id="6" xr3:uid="{30573803-FE9E-460A-97CB-30F4DF84116E}" name="Kennisvraag" dataDxfId="16"/>
    <tableColumn id="22" xr3:uid="{ECD24FDE-E96E-4F3A-9ACE-D4260FAC15C8}" name="Detailed knowledge question / scope specification" dataDxfId="15"/>
    <tableColumn id="21" xr3:uid="{801455B7-EB94-4F6B-B2B1-DD868C49324A}" name="Toelichting kennisvraag"/>
    <tableColumn id="7" xr3:uid="{FB0AC6D3-2BDA-47E6-AFE9-6BD0D7194760}" name="Prioriteit: Functie waterveiligheid (uitgedrukt in faalkans)" dataDxfId="14"/>
    <tableColumn id="8" xr3:uid="{BC1BB0ED-8401-4291-BCE6-ED00D6489A4C}" name="Prioriteit: Functies (anders dan waterveiligheid)" dataDxfId="13"/>
    <tableColumn id="9" xr3:uid="{8859236D-CC01-4FAC-B8D7-F9771AD4EA09}" name="Prioriteit: BenO (budget, planning en uitvoering) " dataDxfId="12"/>
    <tableColumn id="10" xr3:uid="{EBACA2C8-5FE9-4049-A3C0-0313B053B53C}" name="Prioriteit: Operatie (OT)" dataDxfId="11"/>
    <tableColumn id="11" xr3:uid="{3ACACCCD-3290-4A74-BF70-AEBAF02D8E4F}" name="Tijd " dataDxfId="10"/>
    <tableColumn id="12" xr3:uid="{B47BF79E-ABC4-45C7-B7B6-82A82206FED5}" name="Onderzoekslijn eerste keus" dataDxfId="9"/>
    <tableColumn id="13" xr3:uid="{BD8B1A75-6318-42C9-9227-0A7A1A9917AE}" name="Onderzoekslijn tweede keus (indien nodig)" dataDxfId="8"/>
    <tableColumn id="20" xr3:uid="{537C97A0-5E76-4833-B73D-3CB78A92DDB2}" name="toelichting prioriteit / outcome" dataDxfId="7"/>
    <tableColumn id="23" xr3:uid="{12619668-1A71-4C57-8F6A-A53797326556}" name="impact category" dataDxfId="6"/>
    <tableColumn id="14" xr3:uid="{96987744-323E-4E2B-8AC3-CB41D7745F4C}" name="toelichting tijd / wanneer antwoord nodig" dataDxfId="5"/>
    <tableColumn id="15" xr3:uid="{1137071A-104A-4C6C-912B-E7F9E79E16FB}" name="toelichting onderzoekslijn" dataDxfId="4"/>
    <tableColumn id="16" xr3:uid="{EAA3D896-549D-499A-BB60-673C97ED5663}" name="status" dataDxfId="3"/>
    <tableColumn id="17" xr3:uid="{E99AA647-ADF5-4DAB-8F9E-0A750A517FD7}" name="Waar belegd" dataDxfId="2"/>
    <tableColumn id="18" xr3:uid="{25537A0F-9C31-44A9-9E6B-BA38DEB1EA60}" name="kosten [euro]" dataDxfId="1"/>
    <tableColumn id="19" xr3:uid="{482DCA94-A9DC-4924-9E4E-640269C73666}" name="doorlooptijd [jar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3" dT="2026-02-12T18:53:13.69" personId="{370043A5-8BD3-4E9B-91CD-C7DEAA119115}" id="{A152B6BD-D89B-4301-B26E-CBE86ECA7F12}">
    <text>Zouden de vragen 1, 2 en 3 ook timeframe 2 kunnen hebben? Dus besluitvorming over de boeggolf projecten? Of gaat dit over grotere besluiten die later komen?</text>
  </threadedComment>
  <threadedComment ref="F9" dT="2026-02-12T18:54:05.59" personId="{370043A5-8BD3-4E9B-91CD-C7DEAA119115}" id="{9DC46815-39E5-4A68-8329-5E96C11443E2}">
    <text>These = decisions for the SSBs? Interdependencies between decisions for the SSB and for the system?</text>
  </threadedComment>
  <threadedComment ref="N10" dT="2026-02-12T18:56:29.36" personId="{370043A5-8BD3-4E9B-91CD-C7DEAA119115}" id="{6E1BDD64-D3C4-4808-B389-0559E930CB2E}">
    <text>Zou deze ook aan kunnen sluiten bij 9. organisatorische aspecten en dan informatiemanagement? Dit lijkt ook te gaan over complexe informatie begrijpelijk maken voor diverse doelgroepen binnen IenW (en breder) en daarmee ook kennismanagement binnen 9.? Of zou dat dan de 3e onderzoekslijn zijn?</text>
  </threadedComment>
  <threadedComment ref="N19" dT="2026-02-12T19:06:41.63" personId="{370043A5-8BD3-4E9B-91CD-C7DEAA119115}" id="{1DAE2514-F84B-4FD9-97F4-DE16AA6626BA}">
    <text xml:space="preserve">Ik weet niet of structural failure onder faalkans of onder constructieve aspecten valt primair. Dat geldt ook voor de vragen 18, 19. Ik zou zelf ook constructief kiezen. Maar laten we deze ook even bij Marit toetsen. </text>
  </threadedComment>
  <threadedComment ref="F20" dT="2026-02-12T19:07:51.79" personId="{370043A5-8BD3-4E9B-91CD-C7DEAA119115}" id="{140BDC84-868B-4085-9F6E-CFA5B100978C}">
    <text>Probability = structural failure probability?</text>
  </threadedComment>
  <threadedComment ref="U20" dT="2026-02-12T19:17:29.01" personId="{370043A5-8BD3-4E9B-91CD-C7DEAA119115}" id="{A9301480-85D0-46F0-9178-BE33D6032863}">
    <text>Bespreken met WP3: dan weglaten uit impact pathway?</text>
  </threadedComment>
  <threadedComment ref="O24" dT="2026-02-12T19:12:19.30" personId="{370043A5-8BD3-4E9B-91CD-C7DEAA119115}" id="{6E941F77-B58B-4ECF-AE7D-7F43688683DD}">
    <text>Aanvullend heb ik 10 geselecteerd. Ok?</text>
  </threadedComment>
  <threadedComment ref="N26" dT="2026-02-12T19:14:13.06" personId="{370043A5-8BD3-4E9B-91CD-C7DEAA119115}" id="{BE84A403-8730-48E1-9660-8DA76D15E821}">
    <text>De vraag is er breed, zullen we hier om toelichting vragen? Gaat dit vooral om monitoring? Van wat?</text>
  </threadedComment>
  <threadedComment ref="N27" dT="2026-02-12T19:15:48.95" personId="{370043A5-8BD3-4E9B-91CD-C7DEAA119115}" id="{CD1EAC3F-9F9A-43E0-A12A-4563CEA1E582}">
    <text xml:space="preserve">Ik zou hier 4. maintenance and operation (wanneer wat op tijd vervangen) en daarnaast 10. remaining lifetime (tipping points) kiezen denk ik. </text>
  </threadedComment>
  <threadedComment ref="F28" dT="2026-02-12T19:16:22.72" personId="{370043A5-8BD3-4E9B-91CD-C7DEAA119115}" id="{AC39E438-FC1B-4EF7-9270-3B42892802E3}">
    <text>Boundary conditions van wat?</text>
  </threadedComment>
  <threadedComment ref="O29" dT="2026-02-12T19:18:54.04" personId="{370043A5-8BD3-4E9B-91CD-C7DEAA119115}" id="{C094E1DA-9EDE-4CB6-8A11-AD3D8619CF31}">
    <text>8 ook toevoegen? Het zou ook nog bij 9 organisatorische aspecten (informatiemanagement, samenwerking met stakeholders) kunnen passen?</text>
  </threadedComment>
  <threadedComment ref="N30" dT="2026-02-12T19:21:01.73" personId="{370043A5-8BD3-4E9B-91CD-C7DEAA119115}" id="{AF8AAE99-1089-4C56-A887-970EF77E65B6}">
    <text>Kan dit ook 8 systeemniveau zijn, dus ook alternatieven van een SSB?</text>
  </threadedComment>
  <threadedComment ref="N31" dT="2026-02-12T19:23:28.40" personId="{370043A5-8BD3-4E9B-91CD-C7DEAA119115}" id="{FC1BE57E-0702-49A4-A0F2-ED368221612C}">
    <text>Ik denk dat ik niet voldoende  begrijp van dit onderzoek om een categorie toe te kunnen voegen. Kan trust in bv RWS leiden tot een verandering van de levensduur?? Ik kan me voorstellen dat cultuur en vertrouwen invloed kan hebben op grote beslissingen over het systeem (bv middels stemmen op een politieke partij), dan 8. Ik kan me ook voorstellen dat RWS haar naam hoog wil houden, dan is het misschien 9? Misschien kunnen we de onderzoeker vragen om ons hierbij te helpen? Of heb jij wel een beter beeld van dit onderzoek?</text>
  </threadedComment>
  <threadedComment ref="N33" dT="2026-02-12T19:26:07.06" personId="{370043A5-8BD3-4E9B-91CD-C7DEAA119115}" id="{3B4F3FF9-6B7C-4904-AF91-2BD2751D7CBB}">
    <text xml:space="preserve">Deze snap ik wel: ik denk dat dit kan bijdragen aan verlengen levensduur, ook als einde economische levensduur bereikt is. </text>
  </threadedComment>
  <threadedComment ref="N38" dT="2026-02-12T19:26:58.39" personId="{370043A5-8BD3-4E9B-91CD-C7DEAA119115}" id="{C2D81B23-1DE3-461B-9B34-D2FE4F30FFCB}">
    <text>Of 7. faalkans?</text>
  </threadedComment>
  <threadedComment ref="O39" dT="2026-02-12T19:27:40.82" personId="{370043A5-8BD3-4E9B-91CD-C7DEAA119115}" id="{9E1A187F-9A57-4A6B-9069-723E59682B78}">
    <text>Hoe?</text>
  </threadedComment>
  <threadedComment ref="U40" dT="2026-02-12T19:28:13.92" personId="{370043A5-8BD3-4E9B-91CD-C7DEAA119115}" id="{9C5D9F69-2BFD-46C7-B185-4002AD4467CD}">
    <text xml:space="preserve">Ja, ik dacht ook direct aan WP2 bij deze vraag. </text>
  </threadedComment>
  <threadedComment ref="O42" dT="2026-02-12T19:29:00.05" personId="{370043A5-8BD3-4E9B-91CD-C7DEAA119115}" id="{23DA1953-E6D1-4519-8A62-A7B517AB9561}">
    <text xml:space="preserve">Ik heb deze toegevoegd, of bedoelen ze niet ook corrosie? Dan deze weghalen. </text>
  </threadedComment>
  <threadedComment ref="U42" dT="2026-02-12T19:30:49.36" personId="{370043A5-8BD3-4E9B-91CD-C7DEAA119115}" id="{DD550850-5FA3-4737-A929-137978832A39}">
    <text>Bespreken met wie dit heeft opgeschreven: weglaten uit impact pathway (mag best blijven staan in het hoofdstuk)?</text>
  </threadedComment>
  <threadedComment ref="F45" dT="2026-02-12T19:30:21.67" personId="{370043A5-8BD3-4E9B-91CD-C7DEAA119115}" id="{7AC5D53A-94CD-4110-9905-4E0BE0A7429C}">
    <text>Ik snap deze vraag niet voldoende. Gaat het om invloed van dredging op de werking van de kering? Wat is de rol van de kering in de vraag?</text>
  </threadedComment>
  <threadedComment ref="O48" dT="2026-02-12T19:32:13.41" personId="{370043A5-8BD3-4E9B-91CD-C7DEAA119115}" id="{0B96FE43-FF4F-44CD-BABC-667065699A07}">
    <text>Ik heb 8. toegevoegd. Dit lijkt ook te gaan over culturele / maatschappelijke haalbaarheid van beslissingen?</text>
  </threadedComment>
  <threadedComment ref="N49" dT="2026-02-12T19:33:33.15" personId="{370043A5-8BD3-4E9B-91CD-C7DEAA119115}" id="{4AC29281-8438-4732-B113-AB6EABBA1607}">
    <text>Check bij Marit: waar nemen we aanpassing van sluitcriteria en sluitregime in mee? Dit is ook effect van de kering op de omgeving, en daarmee levensduur (functionele prestatie)?</text>
  </threadedComment>
  <threadedComment ref="N50" dT="2026-02-12T19:37:39.21" personId="{370043A5-8BD3-4E9B-91CD-C7DEAA119115}" id="{6E105D72-EF86-4BE3-B537-13E6DFC96622}">
    <text xml:space="preserve">Ook voor bespreken met RWS: adaptatie en systeem/barrier afwegingen tijdens de levensduur, waar nemen we die op? Onder levensduur (functionele prestatie) of onder adapatatie systeemniveau (maar wel tijdens de levensduur)? Geldt ook voor de volgende vragen. </text>
  </threadedComment>
  <threadedComment ref="F52" dT="2026-02-12T19:40:29.38" personId="{370043A5-8BD3-4E9B-91CD-C7DEAA119115}" id="{96D052EA-8483-4EA0-8055-D3E7D3E3CF30}">
    <text xml:space="preserve">Wat heeft dit met keuzes voor de SSB te maken? </text>
  </threadedComment>
  <threadedComment ref="N55" dT="2026-02-12T19:41:09.38" personId="{370043A5-8BD3-4E9B-91CD-C7DEAA119115}" id="{546E488C-FB54-475E-B2F0-F9E7DA35759C}">
    <text>Levensduur kiezen?  Dit is echt functionele prestatie</text>
  </threadedComment>
  <threadedComment ref="N56" dT="2026-02-12T19:41:49.69" personId="{370043A5-8BD3-4E9B-91CD-C7DEAA119115}" id="{0B00617B-8A8C-4509-AB43-BFE4E26D7DA3}">
    <text>Kennismanagement en boring over generaties heen</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DDAB-9767-41F7-8824-A78ED8C137BD}">
  <dimension ref="A1:AF82"/>
  <sheetViews>
    <sheetView tabSelected="1" topLeftCell="F1" zoomScale="85" zoomScaleNormal="85" workbookViewId="0">
      <pane ySplit="2" topLeftCell="A14" activePane="bottomLeft" state="frozen"/>
      <selection pane="bottomLeft" activeCell="G2" sqref="G2"/>
    </sheetView>
  </sheetViews>
  <sheetFormatPr defaultColWidth="8.85546875" defaultRowHeight="15" x14ac:dyDescent="0.25"/>
  <cols>
    <col min="1" max="1" width="17.42578125" style="6" customWidth="1"/>
    <col min="2" max="2" width="5.140625" style="6" customWidth="1"/>
    <col min="3" max="3" width="2.42578125" style="6" customWidth="1"/>
    <col min="4" max="4" width="2.85546875" style="6" customWidth="1"/>
    <col min="5" max="5" width="12" style="6" customWidth="1"/>
    <col min="6" max="6" width="75.5703125" style="6" customWidth="1"/>
    <col min="7" max="7" width="13.5703125" style="6" customWidth="1"/>
    <col min="8" max="8" width="17.85546875" style="6" customWidth="1"/>
    <col min="9" max="9" width="10.85546875" style="6" customWidth="1"/>
    <col min="10" max="10" width="11.140625" style="6" customWidth="1"/>
    <col min="11" max="11" width="11.7109375" style="6" customWidth="1"/>
    <col min="12" max="12" width="11" style="6" customWidth="1"/>
    <col min="13" max="13" width="12.42578125" style="6" customWidth="1"/>
    <col min="14" max="14" width="20.85546875" style="6" customWidth="1"/>
    <col min="15" max="16" width="53.5703125" style="6" customWidth="1"/>
    <col min="17" max="17" width="53.5703125" style="1" customWidth="1"/>
    <col min="18" max="18" width="54" style="6" customWidth="1"/>
    <col min="19" max="19" width="34.140625" style="6" customWidth="1"/>
    <col min="20" max="20" width="16.5703125" style="6" customWidth="1"/>
    <col min="21" max="21" width="18.42578125" style="6" customWidth="1"/>
    <col min="22" max="22" width="19.42578125" style="6" customWidth="1"/>
    <col min="23" max="23" width="27.5703125" style="6" customWidth="1"/>
    <col min="24" max="27" width="37" style="6" customWidth="1"/>
    <col min="28" max="28" width="8.85546875" style="6"/>
    <col min="29" max="29" width="42.42578125" style="6" customWidth="1"/>
    <col min="30" max="30" width="42.85546875" style="6" customWidth="1"/>
    <col min="31" max="16384" width="8.85546875" style="6"/>
  </cols>
  <sheetData>
    <row r="1" spans="1:32" ht="114.95" customHeight="1" x14ac:dyDescent="0.25">
      <c r="A1" s="1" t="s">
        <v>157</v>
      </c>
      <c r="B1" s="1" t="s">
        <v>0</v>
      </c>
      <c r="C1" s="1"/>
      <c r="D1" s="1" t="s">
        <v>1</v>
      </c>
      <c r="E1" s="2"/>
      <c r="F1" s="1" t="s">
        <v>2</v>
      </c>
      <c r="G1" s="1"/>
      <c r="H1" s="1"/>
      <c r="I1" s="3" t="s">
        <v>158</v>
      </c>
      <c r="J1" s="3" t="s">
        <v>3</v>
      </c>
      <c r="K1" s="3" t="s">
        <v>4</v>
      </c>
      <c r="L1" s="1" t="s">
        <v>5</v>
      </c>
      <c r="M1" s="36" t="s">
        <v>6</v>
      </c>
      <c r="N1" s="1" t="s">
        <v>7</v>
      </c>
      <c r="O1" s="1" t="s">
        <v>8</v>
      </c>
      <c r="P1" s="1"/>
      <c r="Q1" s="1" t="s">
        <v>160</v>
      </c>
      <c r="R1" s="1"/>
      <c r="S1" s="1" t="s">
        <v>9</v>
      </c>
      <c r="T1" s="2" t="s">
        <v>10</v>
      </c>
      <c r="U1" s="2" t="s">
        <v>159</v>
      </c>
      <c r="V1" s="2" t="s">
        <v>11</v>
      </c>
      <c r="W1" s="2" t="s">
        <v>12</v>
      </c>
      <c r="X1" s="1" t="s">
        <v>13</v>
      </c>
      <c r="Y1" s="4" t="s">
        <v>14</v>
      </c>
      <c r="Z1" s="1" t="s">
        <v>15</v>
      </c>
      <c r="AA1" s="5" t="s">
        <v>16</v>
      </c>
      <c r="AD1" s="1"/>
    </row>
    <row r="2" spans="1:32" ht="42.95" customHeight="1" x14ac:dyDescent="0.25">
      <c r="A2" s="7" t="s">
        <v>17</v>
      </c>
      <c r="B2" s="7" t="s">
        <v>18</v>
      </c>
      <c r="C2" s="8" t="s">
        <v>19</v>
      </c>
      <c r="D2" s="7" t="s">
        <v>20</v>
      </c>
      <c r="E2" s="9" t="s">
        <v>21</v>
      </c>
      <c r="F2" s="7" t="s">
        <v>22</v>
      </c>
      <c r="G2" s="38" t="s">
        <v>141</v>
      </c>
      <c r="H2" s="7" t="s">
        <v>23</v>
      </c>
      <c r="I2" s="10" t="s">
        <v>24</v>
      </c>
      <c r="J2" s="10" t="s">
        <v>25</v>
      </c>
      <c r="K2" s="10" t="s">
        <v>26</v>
      </c>
      <c r="L2" s="10" t="s">
        <v>27</v>
      </c>
      <c r="M2" s="10" t="s">
        <v>28</v>
      </c>
      <c r="N2" s="10" t="s">
        <v>29</v>
      </c>
      <c r="O2" s="10" t="s">
        <v>30</v>
      </c>
      <c r="P2" s="38" t="s">
        <v>161</v>
      </c>
      <c r="Q2" s="38" t="s">
        <v>140</v>
      </c>
      <c r="R2" s="11" t="s">
        <v>31</v>
      </c>
      <c r="S2" s="11" t="s">
        <v>32</v>
      </c>
      <c r="T2" s="10" t="s">
        <v>33</v>
      </c>
      <c r="U2" s="10" t="s">
        <v>34</v>
      </c>
      <c r="V2" s="10" t="s">
        <v>35</v>
      </c>
      <c r="W2" s="10" t="s">
        <v>36</v>
      </c>
      <c r="X2" s="12" t="s">
        <v>37</v>
      </c>
      <c r="Y2" s="12" t="s">
        <v>38</v>
      </c>
      <c r="Z2" s="12" t="s">
        <v>39</v>
      </c>
      <c r="AA2" s="12" t="s">
        <v>40</v>
      </c>
    </row>
    <row r="3" spans="1:32" ht="21.95" customHeight="1" x14ac:dyDescent="0.25">
      <c r="A3" s="6" t="s">
        <v>80</v>
      </c>
      <c r="B3" s="6">
        <v>1</v>
      </c>
      <c r="C3" s="1"/>
      <c r="F3" s="1" t="s">
        <v>56</v>
      </c>
      <c r="G3" s="1"/>
      <c r="H3" s="1"/>
      <c r="M3" s="6">
        <v>3</v>
      </c>
      <c r="N3" s="6" t="s">
        <v>54</v>
      </c>
      <c r="Q3" s="1" t="s">
        <v>139</v>
      </c>
      <c r="R3" s="13"/>
      <c r="U3" s="6" t="s">
        <v>59</v>
      </c>
      <c r="V3" s="14"/>
      <c r="X3" s="1"/>
      <c r="Y3" s="1"/>
      <c r="Z3" s="1"/>
      <c r="AA3" s="1"/>
    </row>
    <row r="4" spans="1:32" ht="18.600000000000001" customHeight="1" x14ac:dyDescent="0.25">
      <c r="A4" s="6" t="s">
        <v>80</v>
      </c>
      <c r="B4" s="6">
        <v>2</v>
      </c>
      <c r="F4" s="13" t="s">
        <v>57</v>
      </c>
      <c r="G4" s="13"/>
      <c r="H4" s="13"/>
      <c r="M4" s="6">
        <v>3</v>
      </c>
      <c r="N4" s="6" t="s">
        <v>54</v>
      </c>
      <c r="Q4" s="1" t="s">
        <v>139</v>
      </c>
      <c r="R4" s="14"/>
      <c r="U4" s="6" t="s">
        <v>59</v>
      </c>
      <c r="V4" s="14"/>
      <c r="X4" s="1"/>
      <c r="Y4" s="1"/>
      <c r="Z4" s="1"/>
      <c r="AA4" s="1"/>
    </row>
    <row r="5" spans="1:32" ht="21.95" customHeight="1" x14ac:dyDescent="0.25">
      <c r="A5" s="6" t="s">
        <v>80</v>
      </c>
      <c r="B5" s="6">
        <v>3</v>
      </c>
      <c r="F5" s="1" t="s">
        <v>58</v>
      </c>
      <c r="G5" s="1"/>
      <c r="H5" s="1"/>
      <c r="M5" s="15">
        <v>3</v>
      </c>
      <c r="N5" s="6" t="s">
        <v>54</v>
      </c>
      <c r="Q5" s="1" t="s">
        <v>139</v>
      </c>
      <c r="R5" s="16"/>
      <c r="U5" s="6" t="s">
        <v>59</v>
      </c>
      <c r="V5" s="14"/>
      <c r="X5" s="1"/>
      <c r="Y5" s="1"/>
      <c r="Z5" s="1"/>
      <c r="AA5" s="1"/>
    </row>
    <row r="6" spans="1:32" ht="47.1" customHeight="1" x14ac:dyDescent="0.25">
      <c r="A6" s="6" t="s">
        <v>80</v>
      </c>
      <c r="B6" s="6">
        <v>4</v>
      </c>
      <c r="F6" s="18" t="s">
        <v>60</v>
      </c>
      <c r="G6" s="18"/>
      <c r="H6" s="18"/>
      <c r="I6" s="19"/>
      <c r="K6" s="19"/>
      <c r="L6" s="19"/>
      <c r="M6" s="6">
        <v>3</v>
      </c>
      <c r="N6" s="6" t="s">
        <v>53</v>
      </c>
      <c r="O6" s="6" t="s">
        <v>42</v>
      </c>
      <c r="Q6" s="1" t="s">
        <v>139</v>
      </c>
      <c r="R6" s="14"/>
      <c r="U6" s="6" t="s">
        <v>64</v>
      </c>
      <c r="V6" s="14"/>
      <c r="X6" s="1"/>
      <c r="Y6" s="1"/>
      <c r="Z6" s="1"/>
      <c r="AA6" s="1"/>
    </row>
    <row r="7" spans="1:32" ht="78" customHeight="1" x14ac:dyDescent="0.25">
      <c r="A7" s="6" t="s">
        <v>80</v>
      </c>
      <c r="B7" s="6">
        <v>5</v>
      </c>
      <c r="F7" s="13" t="s">
        <v>61</v>
      </c>
      <c r="G7" s="13"/>
      <c r="H7" s="13"/>
      <c r="I7" s="20"/>
      <c r="K7" s="20"/>
      <c r="L7" s="20"/>
      <c r="M7" s="6">
        <v>3</v>
      </c>
      <c r="N7" s="6" t="s">
        <v>53</v>
      </c>
      <c r="O7" s="6" t="s">
        <v>42</v>
      </c>
      <c r="Q7" s="1" t="s">
        <v>139</v>
      </c>
      <c r="R7" s="14"/>
      <c r="U7" s="6" t="s">
        <v>64</v>
      </c>
      <c r="V7" s="14"/>
      <c r="X7" s="1"/>
      <c r="Y7" s="1"/>
      <c r="Z7" s="1"/>
      <c r="AA7" s="1"/>
    </row>
    <row r="8" spans="1:32" ht="45.6" customHeight="1" x14ac:dyDescent="0.25">
      <c r="A8" s="6" t="s">
        <v>80</v>
      </c>
      <c r="B8" s="6">
        <v>6</v>
      </c>
      <c r="F8" s="18" t="s">
        <v>62</v>
      </c>
      <c r="G8" s="18"/>
      <c r="H8" s="18"/>
      <c r="I8" s="13"/>
      <c r="K8" s="13"/>
      <c r="L8" s="13"/>
      <c r="M8" s="6">
        <v>3</v>
      </c>
      <c r="N8" s="6" t="s">
        <v>53</v>
      </c>
      <c r="O8" s="6" t="s">
        <v>42</v>
      </c>
      <c r="Q8" s="1" t="s">
        <v>139</v>
      </c>
      <c r="R8" s="14"/>
      <c r="U8" s="6" t="s">
        <v>64</v>
      </c>
      <c r="V8" s="14"/>
    </row>
    <row r="9" spans="1:32" ht="54.6" customHeight="1" x14ac:dyDescent="0.25">
      <c r="A9" s="6" t="s">
        <v>80</v>
      </c>
      <c r="B9" s="6">
        <v>7</v>
      </c>
      <c r="F9" s="13" t="s">
        <v>63</v>
      </c>
      <c r="G9" s="13"/>
      <c r="H9" s="13"/>
      <c r="M9" s="6">
        <v>3</v>
      </c>
      <c r="N9" s="6" t="s">
        <v>53</v>
      </c>
      <c r="O9" s="6" t="s">
        <v>42</v>
      </c>
      <c r="Q9" s="1" t="s">
        <v>139</v>
      </c>
      <c r="R9" s="14"/>
      <c r="U9" s="6" t="s">
        <v>64</v>
      </c>
      <c r="V9" s="14"/>
      <c r="X9" s="1"/>
      <c r="Y9" s="1"/>
      <c r="AC9" s="21" t="s">
        <v>45</v>
      </c>
    </row>
    <row r="10" spans="1:32" ht="45" x14ac:dyDescent="0.25">
      <c r="A10" s="6" t="s">
        <v>80</v>
      </c>
      <c r="B10" s="6">
        <v>8</v>
      </c>
      <c r="F10" s="13" t="s">
        <v>65</v>
      </c>
      <c r="G10" s="13"/>
      <c r="H10" s="13"/>
      <c r="M10" s="6">
        <v>3</v>
      </c>
      <c r="N10" s="6" t="s">
        <v>53</v>
      </c>
      <c r="O10" s="6" t="s">
        <v>42</v>
      </c>
      <c r="Q10" s="1" t="s">
        <v>139</v>
      </c>
      <c r="R10" s="14"/>
      <c r="U10" s="6" t="s">
        <v>64</v>
      </c>
      <c r="V10" s="14"/>
      <c r="AC10" s="22" t="s">
        <v>41</v>
      </c>
      <c r="AD10" s="39" t="s">
        <v>46</v>
      </c>
      <c r="AF10" s="23" t="s">
        <v>47</v>
      </c>
    </row>
    <row r="11" spans="1:32" ht="45" x14ac:dyDescent="0.25">
      <c r="A11" s="6" t="s">
        <v>80</v>
      </c>
      <c r="B11" s="6">
        <v>9</v>
      </c>
      <c r="F11" s="13" t="s">
        <v>71</v>
      </c>
      <c r="G11" s="13"/>
      <c r="H11" s="13"/>
      <c r="I11" s="20"/>
      <c r="J11" s="20"/>
      <c r="K11" s="20"/>
      <c r="L11" s="20"/>
      <c r="M11" s="6">
        <v>2</v>
      </c>
      <c r="N11" s="6" t="s">
        <v>49</v>
      </c>
      <c r="O11" s="6" t="s">
        <v>53</v>
      </c>
      <c r="Q11" s="1" t="s">
        <v>139</v>
      </c>
      <c r="R11" s="14"/>
      <c r="U11" s="6" t="s">
        <v>70</v>
      </c>
      <c r="V11" s="14"/>
      <c r="AC11" s="22" t="s">
        <v>43</v>
      </c>
      <c r="AD11" s="39"/>
    </row>
    <row r="12" spans="1:32" ht="60" x14ac:dyDescent="0.25">
      <c r="A12" s="6" t="s">
        <v>80</v>
      </c>
      <c r="B12" s="6">
        <v>10</v>
      </c>
      <c r="F12" s="13" t="s">
        <v>66</v>
      </c>
      <c r="G12" s="13"/>
      <c r="H12" s="13" t="s">
        <v>72</v>
      </c>
      <c r="I12" s="20"/>
      <c r="K12" s="20"/>
      <c r="L12" s="20"/>
      <c r="M12" s="6">
        <v>2</v>
      </c>
      <c r="N12" s="6" t="s">
        <v>49</v>
      </c>
      <c r="O12" s="6" t="s">
        <v>54</v>
      </c>
      <c r="Q12" s="1" t="s">
        <v>139</v>
      </c>
      <c r="R12" s="14"/>
      <c r="U12" s="6" t="s">
        <v>70</v>
      </c>
      <c r="V12" s="14"/>
      <c r="AC12" s="22" t="s">
        <v>48</v>
      </c>
      <c r="AD12" s="39"/>
    </row>
    <row r="13" spans="1:32" ht="32.1" customHeight="1" x14ac:dyDescent="0.25">
      <c r="A13" s="6" t="s">
        <v>80</v>
      </c>
      <c r="B13" s="6">
        <v>11</v>
      </c>
      <c r="F13" s="13" t="s">
        <v>67</v>
      </c>
      <c r="G13" s="13"/>
      <c r="H13" s="13" t="s">
        <v>75</v>
      </c>
      <c r="I13" s="24"/>
      <c r="K13" s="20"/>
      <c r="L13" s="20"/>
      <c r="M13" s="6">
        <v>2</v>
      </c>
      <c r="N13" s="6" t="s">
        <v>49</v>
      </c>
      <c r="O13" s="6" t="s">
        <v>53</v>
      </c>
      <c r="Q13" s="1" t="s">
        <v>139</v>
      </c>
      <c r="R13" s="14"/>
      <c r="U13" s="6" t="s">
        <v>70</v>
      </c>
      <c r="V13" s="14"/>
      <c r="X13" s="13"/>
      <c r="Y13" s="13"/>
      <c r="AC13" s="22" t="s">
        <v>49</v>
      </c>
      <c r="AD13" s="39"/>
    </row>
    <row r="14" spans="1:32" ht="46.5" customHeight="1" x14ac:dyDescent="0.25">
      <c r="A14" s="6" t="s">
        <v>80</v>
      </c>
      <c r="B14" s="6">
        <v>12</v>
      </c>
      <c r="F14" s="13" t="s">
        <v>68</v>
      </c>
      <c r="G14" s="13"/>
      <c r="H14" s="1" t="s">
        <v>73</v>
      </c>
      <c r="I14" s="24"/>
      <c r="J14" s="24"/>
      <c r="K14" s="24"/>
      <c r="L14" s="24"/>
      <c r="M14" s="6">
        <v>2</v>
      </c>
      <c r="N14" s="6" t="s">
        <v>49</v>
      </c>
      <c r="O14" s="6" t="s">
        <v>54</v>
      </c>
      <c r="Q14" s="1" t="s">
        <v>139</v>
      </c>
      <c r="R14" s="14"/>
      <c r="U14" s="6" t="s">
        <v>70</v>
      </c>
      <c r="V14" s="14"/>
      <c r="X14" s="13"/>
      <c r="Y14" s="13"/>
      <c r="AC14" s="25" t="s">
        <v>50</v>
      </c>
      <c r="AD14" s="40" t="s">
        <v>51</v>
      </c>
    </row>
    <row r="15" spans="1:32" ht="39.6" customHeight="1" x14ac:dyDescent="0.25">
      <c r="A15" s="6" t="s">
        <v>80</v>
      </c>
      <c r="B15" s="6">
        <v>13</v>
      </c>
      <c r="F15" s="13" t="s">
        <v>69</v>
      </c>
      <c r="G15" s="13"/>
      <c r="H15" s="13" t="s">
        <v>74</v>
      </c>
      <c r="M15" s="6">
        <v>2</v>
      </c>
      <c r="N15" s="6" t="s">
        <v>49</v>
      </c>
      <c r="Q15" s="1" t="s">
        <v>139</v>
      </c>
      <c r="R15" s="14"/>
      <c r="U15" s="6" t="s">
        <v>70</v>
      </c>
      <c r="V15" s="14"/>
      <c r="X15" s="13"/>
      <c r="Y15" s="13"/>
      <c r="AC15" s="25" t="s">
        <v>52</v>
      </c>
      <c r="AD15" s="40"/>
    </row>
    <row r="16" spans="1:32" ht="48" customHeight="1" x14ac:dyDescent="0.25">
      <c r="A16" s="6" t="s">
        <v>79</v>
      </c>
      <c r="B16" s="6">
        <v>14</v>
      </c>
      <c r="F16" s="13" t="s">
        <v>76</v>
      </c>
      <c r="G16" s="13"/>
      <c r="M16" s="6">
        <v>3</v>
      </c>
      <c r="N16" s="6" t="s">
        <v>52</v>
      </c>
      <c r="Q16" s="1" t="s">
        <v>136</v>
      </c>
      <c r="R16" s="14"/>
      <c r="U16" s="6">
        <v>3</v>
      </c>
      <c r="V16" s="14"/>
      <c r="X16" s="13"/>
      <c r="Y16" s="13"/>
      <c r="AC16" s="25" t="s">
        <v>44</v>
      </c>
      <c r="AD16" s="40"/>
    </row>
    <row r="17" spans="1:30" ht="45" x14ac:dyDescent="0.25">
      <c r="A17" s="6" t="s">
        <v>79</v>
      </c>
      <c r="B17" s="6">
        <v>15</v>
      </c>
      <c r="F17" s="13" t="s">
        <v>77</v>
      </c>
      <c r="G17" s="13"/>
      <c r="H17" s="13"/>
      <c r="I17" s="19"/>
      <c r="K17" s="19"/>
      <c r="L17" s="19"/>
      <c r="M17" s="6">
        <v>3</v>
      </c>
      <c r="N17" s="6" t="s">
        <v>41</v>
      </c>
      <c r="O17" s="6" t="s">
        <v>52</v>
      </c>
      <c r="Q17" s="1" t="s">
        <v>136</v>
      </c>
      <c r="R17" s="18"/>
      <c r="U17" s="6">
        <v>3</v>
      </c>
      <c r="V17" s="14"/>
      <c r="X17" s="13"/>
      <c r="Y17" s="13"/>
      <c r="AC17" s="25" t="s">
        <v>53</v>
      </c>
      <c r="AD17" s="40"/>
    </row>
    <row r="18" spans="1:30" ht="30" x14ac:dyDescent="0.25">
      <c r="A18" s="6" t="s">
        <v>79</v>
      </c>
      <c r="B18" s="6">
        <v>16</v>
      </c>
      <c r="F18" s="13" t="s">
        <v>78</v>
      </c>
      <c r="G18" s="13"/>
      <c r="H18" s="13"/>
      <c r="I18" s="19"/>
      <c r="K18" s="19"/>
      <c r="L18" s="19"/>
      <c r="M18" s="6">
        <v>3</v>
      </c>
      <c r="N18" s="6" t="s">
        <v>41</v>
      </c>
      <c r="O18" s="6" t="s">
        <v>52</v>
      </c>
      <c r="Q18" s="1" t="s">
        <v>136</v>
      </c>
      <c r="R18" s="19"/>
      <c r="U18" s="6">
        <v>3</v>
      </c>
      <c r="V18" s="14"/>
      <c r="X18" s="13"/>
      <c r="Y18" s="19"/>
      <c r="AC18" s="26" t="s">
        <v>54</v>
      </c>
      <c r="AD18" s="41" t="s">
        <v>55</v>
      </c>
    </row>
    <row r="19" spans="1:30" ht="14.45" customHeight="1" x14ac:dyDescent="0.25">
      <c r="A19" s="6" t="s">
        <v>80</v>
      </c>
      <c r="B19" s="6">
        <v>17</v>
      </c>
      <c r="F19" s="13" t="s">
        <v>81</v>
      </c>
      <c r="G19" s="13"/>
      <c r="H19" s="13" t="s">
        <v>90</v>
      </c>
      <c r="I19" s="19"/>
      <c r="K19" s="19"/>
      <c r="L19" s="19"/>
      <c r="M19" s="6">
        <v>1</v>
      </c>
      <c r="N19" s="6" t="s">
        <v>41</v>
      </c>
      <c r="O19" s="6" t="s">
        <v>44</v>
      </c>
      <c r="Q19" s="1" t="s">
        <v>136</v>
      </c>
      <c r="R19" s="19"/>
      <c r="U19" s="6" t="s">
        <v>89</v>
      </c>
      <c r="V19" s="14"/>
      <c r="X19" s="13"/>
      <c r="Y19" s="13"/>
      <c r="AC19" s="26" t="s">
        <v>42</v>
      </c>
      <c r="AD19" s="41"/>
    </row>
    <row r="20" spans="1:30" ht="90" x14ac:dyDescent="0.25">
      <c r="A20" s="6" t="s">
        <v>80</v>
      </c>
      <c r="B20" s="6">
        <v>18</v>
      </c>
      <c r="F20" s="13" t="s">
        <v>82</v>
      </c>
      <c r="G20" s="13"/>
      <c r="H20" s="13" t="s">
        <v>90</v>
      </c>
      <c r="M20" s="6">
        <v>2</v>
      </c>
      <c r="N20" s="6" t="s">
        <v>41</v>
      </c>
      <c r="O20" s="5"/>
      <c r="P20" s="5"/>
      <c r="Q20" s="1" t="s">
        <v>136</v>
      </c>
      <c r="R20" s="14"/>
      <c r="U20" s="6" t="s">
        <v>89</v>
      </c>
      <c r="V20" s="14"/>
      <c r="X20" s="13"/>
      <c r="Y20" s="13"/>
      <c r="AC20" s="27"/>
      <c r="AD20" s="27"/>
    </row>
    <row r="21" spans="1:30" ht="90" x14ac:dyDescent="0.25">
      <c r="A21" s="6" t="s">
        <v>79</v>
      </c>
      <c r="B21" s="6">
        <v>19</v>
      </c>
      <c r="F21" s="13" t="s">
        <v>94</v>
      </c>
      <c r="G21" s="13"/>
      <c r="H21" s="13" t="s">
        <v>90</v>
      </c>
      <c r="I21" s="19"/>
      <c r="K21" s="19"/>
      <c r="L21" s="19"/>
      <c r="M21" s="6">
        <v>2</v>
      </c>
      <c r="N21" s="6" t="s">
        <v>41</v>
      </c>
      <c r="O21" s="6" t="s">
        <v>42</v>
      </c>
      <c r="Q21" s="1" t="s">
        <v>136</v>
      </c>
      <c r="R21" s="28"/>
      <c r="S21" s="1"/>
      <c r="U21" s="6" t="s">
        <v>95</v>
      </c>
      <c r="V21" s="14"/>
      <c r="X21" s="19"/>
      <c r="Y21" s="13"/>
      <c r="AC21" s="33" t="s">
        <v>134</v>
      </c>
      <c r="AD21" s="27"/>
    </row>
    <row r="22" spans="1:30" ht="90" x14ac:dyDescent="0.25">
      <c r="A22" s="6" t="s">
        <v>79</v>
      </c>
      <c r="B22" s="6">
        <v>20</v>
      </c>
      <c r="F22" s="13" t="s">
        <v>97</v>
      </c>
      <c r="G22" s="13"/>
      <c r="H22" s="13" t="s">
        <v>90</v>
      </c>
      <c r="I22" s="30"/>
      <c r="J22" s="17"/>
      <c r="K22" s="17"/>
      <c r="L22" s="17"/>
      <c r="M22" s="17">
        <v>2</v>
      </c>
      <c r="N22" s="6" t="s">
        <v>52</v>
      </c>
      <c r="Q22" s="1" t="s">
        <v>136</v>
      </c>
      <c r="R22" s="14"/>
      <c r="T22" s="23"/>
      <c r="U22" s="6" t="s">
        <v>96</v>
      </c>
      <c r="V22" s="14"/>
      <c r="X22" s="13"/>
      <c r="Y22" s="13"/>
      <c r="AC22" s="2" t="s">
        <v>135</v>
      </c>
      <c r="AD22" s="2"/>
    </row>
    <row r="23" spans="1:30" ht="90" x14ac:dyDescent="0.25">
      <c r="A23" s="6" t="s">
        <v>80</v>
      </c>
      <c r="B23" s="6">
        <v>21</v>
      </c>
      <c r="E23" s="1"/>
      <c r="F23" s="1" t="s">
        <v>83</v>
      </c>
      <c r="G23" s="1"/>
      <c r="H23" s="13" t="s">
        <v>90</v>
      </c>
      <c r="M23" s="6">
        <v>2</v>
      </c>
      <c r="N23" s="6" t="s">
        <v>41</v>
      </c>
      <c r="O23" s="1" t="s">
        <v>52</v>
      </c>
      <c r="P23" s="1"/>
      <c r="Q23" s="1" t="s">
        <v>136</v>
      </c>
      <c r="R23" s="13"/>
      <c r="U23" s="6" t="s">
        <v>95</v>
      </c>
      <c r="V23" s="14"/>
      <c r="AC23" s="2" t="s">
        <v>136</v>
      </c>
      <c r="AD23" s="2"/>
    </row>
    <row r="24" spans="1:30" ht="255" x14ac:dyDescent="0.25">
      <c r="A24" s="6" t="s">
        <v>80</v>
      </c>
      <c r="B24" s="6">
        <v>22</v>
      </c>
      <c r="C24" s="1"/>
      <c r="F24" s="2" t="s">
        <v>84</v>
      </c>
      <c r="G24" s="2"/>
      <c r="H24" s="13" t="s">
        <v>101</v>
      </c>
      <c r="M24" s="1">
        <v>1</v>
      </c>
      <c r="N24" s="6" t="s">
        <v>44</v>
      </c>
      <c r="O24" s="6" t="s">
        <v>42</v>
      </c>
      <c r="Q24" s="1" t="s">
        <v>136</v>
      </c>
      <c r="R24" s="29"/>
      <c r="S24" s="1"/>
      <c r="U24" s="6" t="s">
        <v>95</v>
      </c>
      <c r="V24" s="14"/>
      <c r="AC24" s="2" t="s">
        <v>139</v>
      </c>
      <c r="AD24" s="2"/>
    </row>
    <row r="25" spans="1:30" ht="255" x14ac:dyDescent="0.25">
      <c r="A25" s="6" t="s">
        <v>80</v>
      </c>
      <c r="B25" s="6">
        <v>23</v>
      </c>
      <c r="F25" s="13" t="s">
        <v>85</v>
      </c>
      <c r="G25" s="13"/>
      <c r="H25" s="13" t="s">
        <v>101</v>
      </c>
      <c r="M25" s="6">
        <v>2</v>
      </c>
      <c r="N25" s="6" t="s">
        <v>44</v>
      </c>
      <c r="Q25" s="1" t="s">
        <v>136</v>
      </c>
      <c r="R25" s="14"/>
      <c r="U25" s="6" t="s">
        <v>98</v>
      </c>
      <c r="V25" s="14"/>
      <c r="AC25" s="23" t="s">
        <v>137</v>
      </c>
      <c r="AD25" s="17"/>
    </row>
    <row r="26" spans="1:30" ht="90" x14ac:dyDescent="0.25">
      <c r="A26" s="6" t="s">
        <v>80</v>
      </c>
      <c r="B26" s="6">
        <v>24</v>
      </c>
      <c r="F26" s="13" t="s">
        <v>86</v>
      </c>
      <c r="G26" s="13"/>
      <c r="H26" s="1" t="s">
        <v>91</v>
      </c>
      <c r="M26" s="6">
        <v>2</v>
      </c>
      <c r="N26" s="6" t="s">
        <v>41</v>
      </c>
      <c r="Q26" s="1" t="s">
        <v>136</v>
      </c>
      <c r="R26" s="14"/>
      <c r="U26" s="6" t="s">
        <v>98</v>
      </c>
      <c r="V26" s="14"/>
      <c r="AC26" s="23" t="s">
        <v>138</v>
      </c>
      <c r="AD26" s="17"/>
    </row>
    <row r="27" spans="1:30" ht="135" x14ac:dyDescent="0.25">
      <c r="A27" s="6" t="s">
        <v>80</v>
      </c>
      <c r="B27" s="6">
        <v>25</v>
      </c>
      <c r="F27" s="13" t="s">
        <v>87</v>
      </c>
      <c r="G27" s="13"/>
      <c r="H27" s="2" t="s">
        <v>92</v>
      </c>
      <c r="I27" s="17"/>
      <c r="J27" s="17"/>
      <c r="K27" s="17"/>
      <c r="L27" s="17"/>
      <c r="M27" s="6">
        <v>3</v>
      </c>
      <c r="N27" s="6" t="s">
        <v>41</v>
      </c>
      <c r="Q27" s="1" t="s">
        <v>136</v>
      </c>
      <c r="R27" s="14"/>
      <c r="U27" s="6" t="s">
        <v>98</v>
      </c>
      <c r="V27" s="14"/>
      <c r="X27" s="1"/>
      <c r="Y27" s="1"/>
      <c r="AC27" s="34"/>
    </row>
    <row r="28" spans="1:30" ht="90" x14ac:dyDescent="0.25">
      <c r="A28" s="6" t="s">
        <v>80</v>
      </c>
      <c r="B28" s="6">
        <v>26</v>
      </c>
      <c r="F28" s="13" t="s">
        <v>88</v>
      </c>
      <c r="G28" s="13"/>
      <c r="H28" s="13" t="s">
        <v>93</v>
      </c>
      <c r="M28" s="6">
        <v>3</v>
      </c>
      <c r="N28" s="6" t="s">
        <v>41</v>
      </c>
      <c r="O28" s="6" t="s">
        <v>52</v>
      </c>
      <c r="Q28" s="1" t="s">
        <v>136</v>
      </c>
      <c r="R28" s="14"/>
      <c r="U28" s="23" t="s">
        <v>100</v>
      </c>
      <c r="V28" s="14"/>
      <c r="AC28" s="17"/>
    </row>
    <row r="29" spans="1:30" ht="30" x14ac:dyDescent="0.25">
      <c r="A29" s="6" t="s">
        <v>80</v>
      </c>
      <c r="B29" s="6">
        <v>27</v>
      </c>
      <c r="F29" s="13" t="s">
        <v>102</v>
      </c>
      <c r="G29" s="13"/>
      <c r="H29" s="6" t="s">
        <v>152</v>
      </c>
      <c r="I29" s="24"/>
      <c r="K29" s="20"/>
      <c r="L29" s="20"/>
      <c r="M29" s="6">
        <v>3</v>
      </c>
      <c r="N29" s="1" t="s">
        <v>42</v>
      </c>
      <c r="O29" s="6" t="s">
        <v>53</v>
      </c>
      <c r="Q29" s="1" t="s">
        <v>135</v>
      </c>
      <c r="R29" s="31"/>
      <c r="S29" s="1"/>
      <c r="U29" s="6" t="s">
        <v>107</v>
      </c>
      <c r="V29" s="14"/>
    </row>
    <row r="30" spans="1:30" ht="90" x14ac:dyDescent="0.25">
      <c r="A30" s="6" t="s">
        <v>80</v>
      </c>
      <c r="B30" s="6">
        <v>28</v>
      </c>
      <c r="D30" s="13"/>
      <c r="F30" s="18" t="s">
        <v>103</v>
      </c>
      <c r="G30" s="18"/>
      <c r="H30" s="18" t="s">
        <v>153</v>
      </c>
      <c r="I30" s="19"/>
      <c r="K30" s="19"/>
      <c r="L30" s="19"/>
      <c r="M30" s="6">
        <v>3</v>
      </c>
      <c r="N30" s="6" t="s">
        <v>42</v>
      </c>
      <c r="Q30" s="1" t="s">
        <v>135</v>
      </c>
      <c r="R30" s="28"/>
      <c r="S30" s="1"/>
      <c r="U30" s="6" t="s">
        <v>107</v>
      </c>
      <c r="V30" s="14"/>
    </row>
    <row r="31" spans="1:30" ht="30" x14ac:dyDescent="0.25">
      <c r="A31" s="6" t="s">
        <v>80</v>
      </c>
      <c r="B31" s="6">
        <v>29</v>
      </c>
      <c r="F31" s="18" t="s">
        <v>104</v>
      </c>
      <c r="G31" s="18"/>
      <c r="H31" s="18"/>
      <c r="M31" s="6">
        <v>3</v>
      </c>
      <c r="N31" s="1" t="s">
        <v>42</v>
      </c>
      <c r="Q31" s="1" t="s">
        <v>135</v>
      </c>
      <c r="R31" s="14"/>
      <c r="U31" s="6" t="s">
        <v>107</v>
      </c>
      <c r="V31" s="14"/>
    </row>
    <row r="32" spans="1:30" ht="30" x14ac:dyDescent="0.25">
      <c r="A32" s="6" t="s">
        <v>80</v>
      </c>
      <c r="B32" s="6">
        <v>30</v>
      </c>
      <c r="F32" s="18" t="s">
        <v>105</v>
      </c>
      <c r="G32" s="18"/>
      <c r="H32" s="18"/>
      <c r="M32" s="6">
        <v>3</v>
      </c>
      <c r="N32" s="6" t="s">
        <v>42</v>
      </c>
      <c r="Q32" s="1" t="s">
        <v>135</v>
      </c>
      <c r="R32" s="29"/>
      <c r="U32" s="6" t="s">
        <v>107</v>
      </c>
      <c r="V32" s="14"/>
    </row>
    <row r="33" spans="1:22" ht="45" x14ac:dyDescent="0.25">
      <c r="A33" s="6" t="s">
        <v>80</v>
      </c>
      <c r="B33" s="6">
        <v>31</v>
      </c>
      <c r="F33" s="13" t="s">
        <v>106</v>
      </c>
      <c r="G33" s="13"/>
      <c r="H33" s="18"/>
      <c r="M33" s="6">
        <v>3</v>
      </c>
      <c r="N33" s="1" t="s">
        <v>42</v>
      </c>
      <c r="Q33" s="1" t="s">
        <v>135</v>
      </c>
      <c r="R33" s="14"/>
      <c r="U33" s="6" t="s">
        <v>107</v>
      </c>
      <c r="V33" s="14"/>
    </row>
    <row r="34" spans="1:22" ht="30" x14ac:dyDescent="0.25">
      <c r="A34" s="6" t="s">
        <v>80</v>
      </c>
      <c r="B34" s="6">
        <v>32</v>
      </c>
      <c r="F34" s="13" t="s">
        <v>108</v>
      </c>
      <c r="G34" s="13"/>
      <c r="H34" s="6" t="s">
        <v>116</v>
      </c>
      <c r="M34" s="6">
        <v>3</v>
      </c>
      <c r="N34" s="6" t="s">
        <v>42</v>
      </c>
      <c r="Q34" s="1" t="s">
        <v>135</v>
      </c>
      <c r="R34" s="14"/>
      <c r="U34" s="6">
        <v>4</v>
      </c>
      <c r="V34" s="14"/>
    </row>
    <row r="35" spans="1:22" ht="30" x14ac:dyDescent="0.25">
      <c r="A35" s="6" t="s">
        <v>80</v>
      </c>
      <c r="B35" s="6">
        <v>33</v>
      </c>
      <c r="F35" s="13" t="s">
        <v>109</v>
      </c>
      <c r="G35" s="13"/>
      <c r="M35" s="6">
        <v>2</v>
      </c>
      <c r="N35" s="6" t="s">
        <v>42</v>
      </c>
      <c r="Q35" s="1" t="s">
        <v>135</v>
      </c>
      <c r="R35" s="14"/>
      <c r="U35" s="6" t="s">
        <v>99</v>
      </c>
      <c r="V35" s="14"/>
    </row>
    <row r="36" spans="1:22" ht="30" x14ac:dyDescent="0.25">
      <c r="A36" s="6" t="s">
        <v>80</v>
      </c>
      <c r="B36" s="6">
        <v>34</v>
      </c>
      <c r="F36" s="13" t="s">
        <v>110</v>
      </c>
      <c r="G36" s="13"/>
      <c r="M36" s="6">
        <v>2</v>
      </c>
      <c r="N36" s="6" t="s">
        <v>42</v>
      </c>
      <c r="Q36" s="1" t="s">
        <v>135</v>
      </c>
      <c r="R36" s="14"/>
      <c r="U36" s="6" t="s">
        <v>115</v>
      </c>
      <c r="V36" s="14"/>
    </row>
    <row r="37" spans="1:22" ht="30" x14ac:dyDescent="0.25">
      <c r="A37" s="6" t="s">
        <v>80</v>
      </c>
      <c r="B37" s="6">
        <v>35</v>
      </c>
      <c r="F37" s="13" t="s">
        <v>111</v>
      </c>
      <c r="G37" s="13"/>
      <c r="M37" s="6">
        <v>2</v>
      </c>
      <c r="N37" s="6" t="s">
        <v>49</v>
      </c>
      <c r="O37" s="6" t="s">
        <v>42</v>
      </c>
      <c r="Q37" s="1" t="s">
        <v>136</v>
      </c>
      <c r="R37" s="14"/>
      <c r="U37" s="23" t="s">
        <v>117</v>
      </c>
      <c r="V37" s="14"/>
    </row>
    <row r="38" spans="1:22" ht="30" x14ac:dyDescent="0.25">
      <c r="A38" s="6" t="s">
        <v>80</v>
      </c>
      <c r="B38" s="6">
        <v>36</v>
      </c>
      <c r="F38" s="13" t="s">
        <v>112</v>
      </c>
      <c r="G38" s="13"/>
      <c r="M38" s="6">
        <v>2</v>
      </c>
      <c r="N38" s="6" t="s">
        <v>42</v>
      </c>
      <c r="Q38" s="1" t="s">
        <v>135</v>
      </c>
      <c r="R38" s="14"/>
      <c r="U38" s="6" t="s">
        <v>99</v>
      </c>
      <c r="V38" s="14"/>
    </row>
    <row r="39" spans="1:22" ht="30" x14ac:dyDescent="0.25">
      <c r="A39" s="6" t="s">
        <v>80</v>
      </c>
      <c r="B39" s="6">
        <v>37</v>
      </c>
      <c r="F39" s="13" t="s">
        <v>113</v>
      </c>
      <c r="G39" s="13"/>
      <c r="H39" s="6" t="s">
        <v>120</v>
      </c>
      <c r="M39" s="6">
        <v>3</v>
      </c>
      <c r="N39" s="6" t="s">
        <v>52</v>
      </c>
      <c r="O39" s="6" t="s">
        <v>49</v>
      </c>
      <c r="Q39" s="1" t="s">
        <v>135</v>
      </c>
      <c r="R39" s="14"/>
      <c r="U39" s="23" t="s">
        <v>118</v>
      </c>
      <c r="V39" s="14"/>
    </row>
    <row r="40" spans="1:22" ht="30" x14ac:dyDescent="0.25">
      <c r="A40" s="6" t="s">
        <v>80</v>
      </c>
      <c r="B40" s="6">
        <v>38</v>
      </c>
      <c r="F40" s="13" t="s">
        <v>114</v>
      </c>
      <c r="G40" s="13"/>
      <c r="H40" s="6" t="s">
        <v>121</v>
      </c>
      <c r="M40" s="6">
        <v>3</v>
      </c>
      <c r="N40" s="6" t="s">
        <v>53</v>
      </c>
      <c r="Q40" s="1" t="s">
        <v>139</v>
      </c>
      <c r="R40" s="14"/>
      <c r="U40" s="23" t="s">
        <v>119</v>
      </c>
      <c r="V40" s="14"/>
    </row>
    <row r="41" spans="1:22" ht="45" x14ac:dyDescent="0.25">
      <c r="A41" s="6" t="s">
        <v>80</v>
      </c>
      <c r="B41" s="6">
        <v>39</v>
      </c>
      <c r="F41" s="13" t="s">
        <v>122</v>
      </c>
      <c r="G41" s="13"/>
      <c r="H41" s="6" t="s">
        <v>123</v>
      </c>
      <c r="M41" s="6">
        <v>3</v>
      </c>
      <c r="N41" s="6" t="s">
        <v>42</v>
      </c>
      <c r="Q41" s="1" t="s">
        <v>135</v>
      </c>
      <c r="R41" s="14"/>
      <c r="U41" s="6" t="s">
        <v>115</v>
      </c>
      <c r="V41" s="14"/>
    </row>
    <row r="42" spans="1:22" ht="30" x14ac:dyDescent="0.25">
      <c r="A42" s="6" t="s">
        <v>80</v>
      </c>
      <c r="B42" s="6">
        <v>40</v>
      </c>
      <c r="F42" s="13" t="s">
        <v>124</v>
      </c>
      <c r="G42" s="13"/>
      <c r="H42" s="32"/>
      <c r="M42" s="6">
        <v>3</v>
      </c>
      <c r="N42" s="6" t="s">
        <v>42</v>
      </c>
      <c r="O42" s="6" t="s">
        <v>41</v>
      </c>
      <c r="Q42" s="1" t="s">
        <v>135</v>
      </c>
      <c r="R42" s="14"/>
      <c r="U42" s="6" t="s">
        <v>89</v>
      </c>
      <c r="V42" s="14"/>
    </row>
    <row r="43" spans="1:22" ht="30" x14ac:dyDescent="0.25">
      <c r="A43" s="6" t="s">
        <v>80</v>
      </c>
      <c r="B43" s="6">
        <v>41</v>
      </c>
      <c r="F43" s="13" t="s">
        <v>125</v>
      </c>
      <c r="G43" s="13"/>
      <c r="H43" s="32"/>
      <c r="M43" s="6">
        <v>3</v>
      </c>
      <c r="N43" s="6" t="s">
        <v>42</v>
      </c>
      <c r="Q43" s="1" t="s">
        <v>135</v>
      </c>
      <c r="R43" s="14"/>
      <c r="U43" s="6" t="s">
        <v>89</v>
      </c>
      <c r="V43" s="14"/>
    </row>
    <row r="44" spans="1:22" ht="30" x14ac:dyDescent="0.25">
      <c r="A44" s="6" t="s">
        <v>80</v>
      </c>
      <c r="B44" s="6">
        <v>42</v>
      </c>
      <c r="F44" s="13" t="s">
        <v>126</v>
      </c>
      <c r="G44" s="13"/>
      <c r="H44" s="32"/>
      <c r="M44" s="6">
        <v>3</v>
      </c>
      <c r="N44" s="6" t="s">
        <v>42</v>
      </c>
      <c r="Q44" s="1" t="s">
        <v>135</v>
      </c>
      <c r="R44" s="14"/>
      <c r="U44" s="6" t="s">
        <v>89</v>
      </c>
      <c r="V44" s="14"/>
    </row>
    <row r="45" spans="1:22" ht="30" x14ac:dyDescent="0.25">
      <c r="A45" s="6" t="s">
        <v>80</v>
      </c>
      <c r="B45" s="6">
        <v>43</v>
      </c>
      <c r="F45" s="13" t="s">
        <v>127</v>
      </c>
      <c r="G45" s="13"/>
      <c r="H45" s="32"/>
      <c r="M45" s="6">
        <v>3</v>
      </c>
      <c r="N45" s="6" t="s">
        <v>42</v>
      </c>
      <c r="Q45" s="1" t="s">
        <v>135</v>
      </c>
      <c r="R45" s="14"/>
      <c r="U45" s="6" t="s">
        <v>89</v>
      </c>
      <c r="V45" s="14"/>
    </row>
    <row r="46" spans="1:22" ht="30" x14ac:dyDescent="0.25">
      <c r="A46" s="6" t="s">
        <v>80</v>
      </c>
      <c r="B46" s="6">
        <v>44</v>
      </c>
      <c r="F46" s="13" t="s">
        <v>128</v>
      </c>
      <c r="G46" s="13"/>
      <c r="M46" s="6">
        <v>3</v>
      </c>
      <c r="N46" s="6" t="s">
        <v>42</v>
      </c>
      <c r="O46" s="6" t="s">
        <v>41</v>
      </c>
      <c r="Q46" s="1" t="s">
        <v>135</v>
      </c>
      <c r="R46" s="14"/>
      <c r="U46" s="6" t="s">
        <v>131</v>
      </c>
      <c r="V46" s="14"/>
    </row>
    <row r="47" spans="1:22" ht="30" x14ac:dyDescent="0.25">
      <c r="A47" s="6" t="s">
        <v>80</v>
      </c>
      <c r="B47" s="6">
        <v>45</v>
      </c>
      <c r="F47" s="13" t="s">
        <v>129</v>
      </c>
      <c r="G47" s="13"/>
      <c r="M47" s="6">
        <v>3</v>
      </c>
      <c r="N47" s="6" t="s">
        <v>42</v>
      </c>
      <c r="Q47" s="1" t="s">
        <v>135</v>
      </c>
      <c r="R47" s="14"/>
      <c r="U47" s="6" t="s">
        <v>132</v>
      </c>
      <c r="V47" s="14"/>
    </row>
    <row r="48" spans="1:22" ht="30" x14ac:dyDescent="0.25">
      <c r="A48" s="6" t="s">
        <v>80</v>
      </c>
      <c r="B48" s="6">
        <v>46</v>
      </c>
      <c r="F48" s="13" t="s">
        <v>130</v>
      </c>
      <c r="G48" s="13"/>
      <c r="M48" s="6">
        <v>3</v>
      </c>
      <c r="N48" s="6" t="s">
        <v>54</v>
      </c>
      <c r="O48" s="6" t="s">
        <v>53</v>
      </c>
      <c r="Q48" s="1" t="s">
        <v>139</v>
      </c>
      <c r="R48" s="14"/>
      <c r="U48" s="6" t="s">
        <v>133</v>
      </c>
      <c r="V48" s="14"/>
    </row>
    <row r="49" spans="1:22" ht="45" x14ac:dyDescent="0.25">
      <c r="A49" s="6" t="s">
        <v>80</v>
      </c>
      <c r="B49" s="6">
        <v>47</v>
      </c>
      <c r="F49" s="35" t="s">
        <v>142</v>
      </c>
      <c r="G49" s="35"/>
      <c r="M49" s="6">
        <v>2</v>
      </c>
      <c r="N49" s="6" t="s">
        <v>49</v>
      </c>
      <c r="O49" s="6" t="s">
        <v>52</v>
      </c>
      <c r="Q49" s="1" t="s">
        <v>139</v>
      </c>
      <c r="R49" s="14"/>
      <c r="U49" s="6" t="s">
        <v>89</v>
      </c>
      <c r="V49" s="14"/>
    </row>
    <row r="50" spans="1:22" ht="45" x14ac:dyDescent="0.25">
      <c r="A50" s="6" t="s">
        <v>80</v>
      </c>
      <c r="B50" s="6">
        <v>48</v>
      </c>
      <c r="F50" s="35" t="s">
        <v>143</v>
      </c>
      <c r="G50" s="35"/>
      <c r="M50" s="6">
        <v>3</v>
      </c>
      <c r="N50" s="6" t="s">
        <v>49</v>
      </c>
      <c r="O50" s="6" t="s">
        <v>53</v>
      </c>
      <c r="Q50" s="1" t="s">
        <v>139</v>
      </c>
      <c r="R50" s="14"/>
      <c r="U50" s="6">
        <v>4</v>
      </c>
      <c r="V50" s="14"/>
    </row>
    <row r="51" spans="1:22" ht="45" x14ac:dyDescent="0.25">
      <c r="A51" s="6" t="s">
        <v>147</v>
      </c>
      <c r="B51" s="6">
        <v>49</v>
      </c>
      <c r="F51" s="35" t="s">
        <v>144</v>
      </c>
      <c r="G51" s="35"/>
      <c r="M51" s="6">
        <v>1</v>
      </c>
      <c r="N51" s="6" t="s">
        <v>53</v>
      </c>
      <c r="Q51" s="1" t="s">
        <v>139</v>
      </c>
      <c r="R51" s="14"/>
      <c r="U51" s="6">
        <v>4</v>
      </c>
      <c r="V51" s="14"/>
    </row>
    <row r="52" spans="1:22" ht="45" x14ac:dyDescent="0.25">
      <c r="A52" s="6" t="s">
        <v>146</v>
      </c>
      <c r="B52" s="6">
        <v>50</v>
      </c>
      <c r="F52" s="35" t="s">
        <v>145</v>
      </c>
      <c r="G52" s="35"/>
      <c r="M52" s="6">
        <v>2</v>
      </c>
      <c r="N52" s="6" t="s">
        <v>53</v>
      </c>
      <c r="Q52" s="1" t="s">
        <v>139</v>
      </c>
      <c r="R52" s="14"/>
      <c r="U52" s="6">
        <v>4</v>
      </c>
      <c r="V52" s="14"/>
    </row>
    <row r="53" spans="1:22" ht="45" x14ac:dyDescent="0.25">
      <c r="A53" s="6" t="s">
        <v>80</v>
      </c>
      <c r="B53" s="6">
        <v>51</v>
      </c>
      <c r="F53" s="35" t="s">
        <v>148</v>
      </c>
      <c r="G53" s="13"/>
      <c r="M53" s="6">
        <v>3</v>
      </c>
      <c r="N53" s="6" t="s">
        <v>49</v>
      </c>
      <c r="O53" s="6" t="s">
        <v>53</v>
      </c>
      <c r="Q53" s="1" t="s">
        <v>139</v>
      </c>
      <c r="R53" s="14"/>
      <c r="U53" s="6" t="s">
        <v>89</v>
      </c>
      <c r="V53" s="14"/>
    </row>
    <row r="54" spans="1:22" ht="45" x14ac:dyDescent="0.25">
      <c r="A54" s="6" t="s">
        <v>80</v>
      </c>
      <c r="B54" s="6">
        <v>52</v>
      </c>
      <c r="F54" s="35" t="s">
        <v>149</v>
      </c>
      <c r="G54" s="13"/>
      <c r="M54" s="6">
        <v>3</v>
      </c>
      <c r="N54" s="6" t="s">
        <v>49</v>
      </c>
      <c r="O54" s="6" t="s">
        <v>53</v>
      </c>
      <c r="Q54" s="1" t="s">
        <v>139</v>
      </c>
      <c r="R54" s="14"/>
      <c r="U54" s="6" t="s">
        <v>89</v>
      </c>
      <c r="V54" s="14"/>
    </row>
    <row r="55" spans="1:22" ht="45" x14ac:dyDescent="0.25">
      <c r="A55" s="6" t="s">
        <v>80</v>
      </c>
      <c r="B55" s="6">
        <v>53</v>
      </c>
      <c r="F55" s="35" t="s">
        <v>150</v>
      </c>
      <c r="G55" s="13"/>
      <c r="H55" s="6" t="s">
        <v>151</v>
      </c>
      <c r="M55" s="6">
        <v>3</v>
      </c>
      <c r="N55" s="6" t="s">
        <v>49</v>
      </c>
      <c r="O55" s="6" t="s">
        <v>53</v>
      </c>
      <c r="Q55" s="1" t="s">
        <v>139</v>
      </c>
      <c r="R55" s="14"/>
      <c r="U55" s="6" t="s">
        <v>89</v>
      </c>
      <c r="V55" s="14"/>
    </row>
    <row r="56" spans="1:22" ht="45" x14ac:dyDescent="0.25">
      <c r="A56" s="6" t="s">
        <v>80</v>
      </c>
      <c r="B56" s="6">
        <v>54</v>
      </c>
      <c r="F56" s="35" t="s">
        <v>156</v>
      </c>
      <c r="G56" s="13"/>
      <c r="M56" s="6">
        <v>3</v>
      </c>
      <c r="N56" s="6" t="s">
        <v>54</v>
      </c>
      <c r="Q56" s="1" t="s">
        <v>137</v>
      </c>
      <c r="R56" s="14"/>
      <c r="V56" s="14"/>
    </row>
    <row r="57" spans="1:22" x14ac:dyDescent="0.25">
      <c r="A57" s="6" t="s">
        <v>80</v>
      </c>
      <c r="B57" s="6">
        <v>55</v>
      </c>
      <c r="F57" s="35" t="s">
        <v>155</v>
      </c>
      <c r="G57" s="13"/>
      <c r="M57" s="6">
        <v>3</v>
      </c>
      <c r="N57" s="6" t="s">
        <v>54</v>
      </c>
      <c r="Q57" s="1" t="s">
        <v>138</v>
      </c>
      <c r="R57" s="14"/>
      <c r="V57" s="14"/>
    </row>
    <row r="58" spans="1:22" ht="45" x14ac:dyDescent="0.25">
      <c r="D58" s="19"/>
      <c r="F58" s="13" t="s">
        <v>154</v>
      </c>
      <c r="G58" s="13"/>
      <c r="H58" s="18"/>
      <c r="I58" s="19"/>
      <c r="K58" s="19"/>
      <c r="L58" s="19"/>
      <c r="M58" s="6">
        <v>3</v>
      </c>
      <c r="N58" s="6" t="s">
        <v>53</v>
      </c>
      <c r="Q58" s="1" t="s">
        <v>135</v>
      </c>
      <c r="R58" s="37"/>
      <c r="U58" s="6" t="s">
        <v>107</v>
      </c>
      <c r="V58" s="14"/>
    </row>
    <row r="59" spans="1:22" x14ac:dyDescent="0.25">
      <c r="R59" s="14"/>
      <c r="V59" s="14"/>
    </row>
    <row r="60" spans="1:22" x14ac:dyDescent="0.25">
      <c r="R60" s="14"/>
      <c r="V60" s="14"/>
    </row>
    <row r="61" spans="1:22" x14ac:dyDescent="0.25">
      <c r="R61" s="14"/>
      <c r="V61" s="14"/>
    </row>
    <row r="62" spans="1:22" x14ac:dyDescent="0.25">
      <c r="R62" s="14"/>
      <c r="V62" s="14"/>
    </row>
    <row r="63" spans="1:22" x14ac:dyDescent="0.25">
      <c r="R63" s="14"/>
      <c r="V63" s="14"/>
    </row>
    <row r="64" spans="1:22" x14ac:dyDescent="0.25">
      <c r="R64" s="14"/>
      <c r="V64" s="14"/>
    </row>
    <row r="65" spans="18:22" x14ac:dyDescent="0.25">
      <c r="R65" s="14"/>
      <c r="V65" s="14"/>
    </row>
    <row r="66" spans="18:22" x14ac:dyDescent="0.25">
      <c r="R66" s="14"/>
      <c r="V66" s="14"/>
    </row>
    <row r="67" spans="18:22" x14ac:dyDescent="0.25">
      <c r="R67" s="14"/>
      <c r="V67" s="14"/>
    </row>
    <row r="68" spans="18:22" x14ac:dyDescent="0.25">
      <c r="R68" s="14"/>
      <c r="V68" s="14"/>
    </row>
    <row r="69" spans="18:22" x14ac:dyDescent="0.25">
      <c r="R69" s="14"/>
      <c r="V69" s="14"/>
    </row>
    <row r="70" spans="18:22" x14ac:dyDescent="0.25">
      <c r="R70" s="14"/>
      <c r="V70" s="14"/>
    </row>
    <row r="71" spans="18:22" x14ac:dyDescent="0.25">
      <c r="R71" s="14"/>
      <c r="V71" s="14"/>
    </row>
    <row r="72" spans="18:22" x14ac:dyDescent="0.25">
      <c r="R72" s="14"/>
      <c r="V72" s="14"/>
    </row>
    <row r="73" spans="18:22" x14ac:dyDescent="0.25">
      <c r="V73" s="14"/>
    </row>
    <row r="74" spans="18:22" x14ac:dyDescent="0.25">
      <c r="V74" s="14"/>
    </row>
    <row r="75" spans="18:22" x14ac:dyDescent="0.25">
      <c r="V75" s="14"/>
    </row>
    <row r="76" spans="18:22" x14ac:dyDescent="0.25">
      <c r="V76" s="14"/>
    </row>
    <row r="77" spans="18:22" x14ac:dyDescent="0.25">
      <c r="V77" s="14"/>
    </row>
    <row r="78" spans="18:22" x14ac:dyDescent="0.25">
      <c r="V78" s="14"/>
    </row>
    <row r="79" spans="18:22" x14ac:dyDescent="0.25">
      <c r="V79" s="14"/>
    </row>
    <row r="80" spans="18:22" x14ac:dyDescent="0.25">
      <c r="V80" s="14"/>
    </row>
    <row r="81" spans="22:22" x14ac:dyDescent="0.25">
      <c r="V81" s="14"/>
    </row>
    <row r="82" spans="22:22" x14ac:dyDescent="0.25">
      <c r="V82" s="14"/>
    </row>
  </sheetData>
  <mergeCells count="3">
    <mergeCell ref="AD10:AD13"/>
    <mergeCell ref="AD14:AD17"/>
    <mergeCell ref="AD18:AD19"/>
  </mergeCells>
  <phoneticPr fontId="12" type="noConversion"/>
  <dataValidations count="2">
    <dataValidation type="list" allowBlank="1" showInputMessage="1" showErrorMessage="1" sqref="R73 N3:N86 O3:P73" xr:uid="{5983F1EF-BF18-4DF6-94AC-DBA923411B25}">
      <formula1>$AC$10:$AC$19</formula1>
    </dataValidation>
    <dataValidation type="list" allowBlank="1" showErrorMessage="1" sqref="Q3:Q1048576" xr:uid="{50F7AE27-B5A5-4DF4-8F37-AB3A96638997}">
      <formula1>$AC$22:$AC$26</formula1>
    </dataValidation>
  </dataValidations>
  <pageMargins left="0.7" right="0.7" top="0.75" bottom="0.75" header="0.3" footer="0.3"/>
  <pageSetup paperSize="9" orientation="portrait" r:id="rId1"/>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1F94B6AE6ED7E4A87B975BD711A42C8" ma:contentTypeVersion="3" ma:contentTypeDescription="Create a new document." ma:contentTypeScope="" ma:versionID="52b9f7658f312bac273cc14b8d12ad72">
  <xsd:schema xmlns:xsd="http://www.w3.org/2001/XMLSchema" xmlns:xs="http://www.w3.org/2001/XMLSchema" xmlns:p="http://schemas.microsoft.com/office/2006/metadata/properties" xmlns:ns2="67a1054d-5936-46ee-9c1d-1714ddbd2c93" targetNamespace="http://schemas.microsoft.com/office/2006/metadata/properties" ma:root="true" ma:fieldsID="0f04d8645f5f77883ee3eff4b5c253a6" ns2:_="">
    <xsd:import namespace="67a1054d-5936-46ee-9c1d-1714ddbd2c9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a1054d-5936-46ee-9c1d-1714ddbd2c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FA59E53-0119-4740-8271-E9D7B077C030}">
  <ds:schemaRefs>
    <ds:schemaRef ds:uri="http://schemas.microsoft.com/sharepoint/v3/contenttype/forms"/>
  </ds:schemaRefs>
</ds:datastoreItem>
</file>

<file path=customXml/itemProps2.xml><?xml version="1.0" encoding="utf-8"?>
<ds:datastoreItem xmlns:ds="http://schemas.openxmlformats.org/officeDocument/2006/customXml" ds:itemID="{C7B3B2DB-1919-44FE-9B57-40FDC14B99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a1054d-5936-46ee-9c1d-1714ddbd2c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7EA8E7-9F49-4211-BB08-ED8EF39DD0B1}">
  <ds:schemaRefs>
    <ds:schemaRef ds:uri="http://purl.org/dc/terms/"/>
    <ds:schemaRef ds:uri="http://schemas.openxmlformats.org/package/2006/metadata/core-properties"/>
    <ds:schemaRef ds:uri="http://schemas.microsoft.com/office/2006/documentManagement/types"/>
    <ds:schemaRef ds:uri="http://www.w3.org/XML/1998/namespace"/>
    <ds:schemaRef ds:uri="http://purl.org/dc/elements/1.1/"/>
    <ds:schemaRef ds:uri="http://schemas.microsoft.com/office/infopath/2007/PartnerControls"/>
    <ds:schemaRef ds:uri="67a1054d-5936-46ee-9c1d-1714ddbd2c93"/>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15f3fe0e-d712-4981-bc7c-fe949af215bb}" enabled="0" method="" siteId="{15f3fe0e-d712-4981-bc7c-fe949af215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 ten Harmsen van der Beek</dc:creator>
  <cp:lastModifiedBy>Noor ten Harmsen van der Beek</cp:lastModifiedBy>
  <dcterms:created xsi:type="dcterms:W3CDTF">2026-02-09T09:20:14Z</dcterms:created>
  <dcterms:modified xsi:type="dcterms:W3CDTF">2026-02-16T14:36:06Z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0x01010051F94B6AE6ED7E4A87B975BD711A42C8</vt:lpwstr>
  </property>
</Properties>
</file>